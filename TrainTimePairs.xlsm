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tabRatio="554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C56" i="1" l="1"/>
  <c r="C54" i="1"/>
  <c r="D50" i="1"/>
  <c r="D56" i="1"/>
  <c r="D54" i="1"/>
  <c r="D52" i="1"/>
  <c r="C52" i="1"/>
  <c r="C50" i="1"/>
  <c r="X25" i="1"/>
  <c r="W25" i="1"/>
  <c r="X24" i="1"/>
  <c r="W24" i="1"/>
  <c r="V24" i="1"/>
  <c r="X23" i="1"/>
  <c r="V23" i="1"/>
  <c r="U23" i="1"/>
  <c r="X22" i="1"/>
  <c r="W22" i="1"/>
  <c r="V22" i="1"/>
  <c r="U22" i="1"/>
  <c r="T22" i="1"/>
  <c r="X21" i="1"/>
  <c r="S21" i="1"/>
  <c r="T20" i="1"/>
  <c r="R20" i="1"/>
  <c r="X19" i="1"/>
  <c r="V19" i="1"/>
  <c r="U19" i="1"/>
  <c r="T19" i="1"/>
  <c r="R19" i="1"/>
  <c r="Q19" i="1"/>
  <c r="O19" i="1"/>
  <c r="N19" i="1"/>
  <c r="Y19" i="1"/>
  <c r="K19" i="1"/>
  <c r="J19" i="1"/>
  <c r="H19" i="1"/>
  <c r="G19" i="1"/>
  <c r="F19" i="1"/>
  <c r="E19" i="1"/>
  <c r="U18" i="1"/>
  <c r="S18" i="1"/>
  <c r="Q18" i="1"/>
  <c r="P18" i="1"/>
  <c r="N18" i="1"/>
  <c r="Y18" i="1"/>
  <c r="M18" i="1"/>
  <c r="L18" i="1"/>
  <c r="K18" i="1"/>
  <c r="I18" i="1"/>
  <c r="H18" i="1"/>
  <c r="E18" i="1"/>
  <c r="C18" i="1"/>
  <c r="X17" i="1"/>
  <c r="W17" i="1"/>
  <c r="V17" i="1"/>
  <c r="U17" i="1"/>
  <c r="T17" i="1"/>
  <c r="S17" i="1"/>
  <c r="R17" i="1"/>
  <c r="Q17" i="1"/>
  <c r="P17" i="1"/>
  <c r="O17" i="1"/>
  <c r="Y17" i="1"/>
  <c r="M17" i="1"/>
  <c r="L17" i="1"/>
  <c r="K17" i="1"/>
  <c r="J17" i="1"/>
  <c r="H17" i="1"/>
  <c r="G17" i="1"/>
  <c r="F17" i="1"/>
  <c r="E17" i="1"/>
  <c r="X28" i="1"/>
  <c r="W28" i="1"/>
  <c r="V28" i="1"/>
  <c r="U28" i="1"/>
  <c r="T28" i="1"/>
  <c r="S28" i="1"/>
  <c r="R28" i="1"/>
  <c r="P28" i="1"/>
  <c r="O28" i="1"/>
  <c r="N28" i="1"/>
  <c r="M28" i="1"/>
  <c r="J28" i="1"/>
  <c r="I28" i="1"/>
  <c r="H28" i="1"/>
  <c r="G28" i="1"/>
  <c r="X16" i="1"/>
  <c r="W16" i="1"/>
  <c r="V16" i="1"/>
  <c r="U16" i="1"/>
  <c r="T16" i="1"/>
  <c r="R16" i="1"/>
  <c r="Q16" i="1"/>
  <c r="O16" i="1"/>
  <c r="N16" i="1"/>
  <c r="Y16" i="1"/>
  <c r="K16" i="1"/>
  <c r="J16" i="1"/>
  <c r="H16" i="1"/>
  <c r="G16" i="1"/>
  <c r="U15" i="1"/>
  <c r="T15" i="1"/>
  <c r="S15" i="1"/>
  <c r="R15" i="1"/>
  <c r="Q15" i="1"/>
  <c r="O15" i="1"/>
  <c r="N15" i="1"/>
  <c r="I15" i="1"/>
  <c r="G15" i="1"/>
  <c r="T14" i="1"/>
  <c r="R14" i="1"/>
  <c r="Q14" i="1"/>
  <c r="P14" i="1"/>
  <c r="O14" i="1"/>
  <c r="N14" i="1"/>
  <c r="M14" i="1"/>
  <c r="J14" i="1"/>
  <c r="I14" i="1"/>
  <c r="H14" i="1"/>
  <c r="G14" i="1"/>
  <c r="X13" i="1"/>
  <c r="T13" i="1"/>
  <c r="S13" i="1"/>
  <c r="R13" i="1"/>
  <c r="Q13" i="1"/>
  <c r="P13" i="1"/>
  <c r="N13" i="1"/>
  <c r="Y13" i="1"/>
  <c r="M13" i="1"/>
  <c r="K13" i="1"/>
  <c r="I13" i="1"/>
  <c r="H13" i="1"/>
  <c r="X12" i="1"/>
  <c r="W12" i="1"/>
  <c r="V12" i="1"/>
  <c r="U12" i="1"/>
  <c r="T12" i="1"/>
  <c r="S12" i="1"/>
  <c r="R12" i="1"/>
  <c r="Q12" i="1"/>
  <c r="O12" i="1"/>
  <c r="Y12" i="1"/>
  <c r="L12" i="1"/>
  <c r="K12" i="1"/>
  <c r="J12" i="1"/>
  <c r="H12" i="1"/>
  <c r="G12" i="1"/>
  <c r="F12" i="1"/>
  <c r="X11" i="1"/>
  <c r="W11" i="1"/>
  <c r="T11" i="1"/>
  <c r="R11" i="1"/>
  <c r="Q11" i="1"/>
  <c r="P11" i="1"/>
  <c r="O11" i="1"/>
  <c r="N11" i="1"/>
  <c r="Y11" i="1"/>
  <c r="M11" i="1"/>
  <c r="K11" i="1"/>
  <c r="J11" i="1"/>
  <c r="I11" i="1"/>
  <c r="G11" i="1"/>
  <c r="C11" i="1"/>
  <c r="X10" i="1"/>
  <c r="W10" i="1"/>
  <c r="U10" i="1"/>
  <c r="T10" i="1"/>
  <c r="S10" i="1"/>
  <c r="R10" i="1"/>
  <c r="Q10" i="1"/>
  <c r="P10" i="1"/>
  <c r="N10" i="1"/>
  <c r="Y10" i="1"/>
  <c r="M10" i="1"/>
  <c r="L10" i="1"/>
  <c r="K10" i="1"/>
  <c r="I10" i="1"/>
  <c r="H10" i="1"/>
  <c r="F10" i="1"/>
  <c r="D10" i="1"/>
  <c r="C10" i="1"/>
  <c r="X9" i="1"/>
  <c r="V9" i="1"/>
  <c r="T9" i="1"/>
  <c r="R9" i="1"/>
  <c r="P9" i="1"/>
  <c r="N9" i="1"/>
  <c r="I9" i="1"/>
  <c r="G9" i="1"/>
  <c r="X8" i="1"/>
  <c r="T8" i="1"/>
  <c r="Q8" i="1"/>
  <c r="P8" i="1"/>
  <c r="O8" i="1"/>
  <c r="N8" i="1"/>
  <c r="X7" i="1"/>
  <c r="W7" i="1"/>
  <c r="V7" i="1"/>
  <c r="U7" i="1"/>
  <c r="T7" i="1"/>
  <c r="S7" i="1"/>
  <c r="R7" i="1"/>
  <c r="Q7" i="1"/>
  <c r="G7" i="1"/>
  <c r="W6" i="1"/>
  <c r="V6" i="1"/>
  <c r="U6" i="1"/>
  <c r="T6" i="1"/>
  <c r="S6" i="1"/>
  <c r="R6" i="1"/>
  <c r="O6" i="1"/>
  <c r="H6" i="1"/>
  <c r="G6" i="1"/>
  <c r="BF47" i="1"/>
  <c r="BD47" i="1"/>
  <c r="BC47" i="1"/>
  <c r="BB47" i="1"/>
  <c r="AZ47" i="1"/>
  <c r="AY47" i="1"/>
  <c r="AW47" i="1"/>
  <c r="AV47" i="1"/>
  <c r="AU47" i="1"/>
  <c r="AR47" i="1"/>
  <c r="AQ47" i="1"/>
  <c r="AO47" i="1"/>
  <c r="AN47" i="1"/>
  <c r="AM47" i="1"/>
  <c r="AL47" i="1"/>
  <c r="BF58" i="1"/>
  <c r="BC58" i="1"/>
  <c r="BA58" i="1"/>
  <c r="AY58" i="1"/>
  <c r="AX58" i="1"/>
  <c r="AV58" i="1"/>
  <c r="AU58" i="1"/>
  <c r="AT58" i="1"/>
  <c r="AS58" i="1"/>
  <c r="AR58" i="1"/>
  <c r="AP58" i="1"/>
  <c r="AO58" i="1"/>
  <c r="AL58" i="1"/>
  <c r="AJ58" i="1"/>
  <c r="BF46" i="1"/>
  <c r="BE46" i="1"/>
  <c r="BD46" i="1"/>
  <c r="BC46" i="1"/>
  <c r="BB46" i="1"/>
  <c r="BA46" i="1"/>
  <c r="AZ46" i="1"/>
  <c r="AY46" i="1"/>
  <c r="AX46" i="1"/>
  <c r="AW46" i="1"/>
  <c r="AU46" i="1"/>
  <c r="AT46" i="1"/>
  <c r="AS46" i="1"/>
  <c r="AR46" i="1"/>
  <c r="AQ46" i="1"/>
  <c r="AO46" i="1"/>
  <c r="AN46" i="1"/>
  <c r="AM46" i="1"/>
  <c r="AL46" i="1"/>
  <c r="BF45" i="1"/>
  <c r="BE45" i="1"/>
  <c r="BD45" i="1"/>
  <c r="BC45" i="1"/>
  <c r="BB45" i="1"/>
  <c r="BA45" i="1"/>
  <c r="AZ45" i="1"/>
  <c r="AX45" i="1"/>
  <c r="AW45" i="1"/>
  <c r="AV45" i="1"/>
  <c r="AT45" i="1"/>
  <c r="AQ45" i="1"/>
  <c r="AP45" i="1"/>
  <c r="AO45" i="1"/>
  <c r="AN45" i="1"/>
  <c r="BF44" i="1"/>
  <c r="BE44" i="1"/>
  <c r="BD44" i="1"/>
  <c r="BC44" i="1"/>
  <c r="BB44" i="1"/>
  <c r="AZ44" i="1"/>
  <c r="AY44" i="1"/>
  <c r="AW44" i="1"/>
  <c r="AV44" i="1"/>
  <c r="AU44" i="1"/>
  <c r="AR44" i="1"/>
  <c r="AQ44" i="1"/>
  <c r="AO44" i="1"/>
  <c r="AN44" i="1"/>
  <c r="BC43" i="1"/>
  <c r="BB43" i="1"/>
  <c r="BA43" i="1"/>
  <c r="AZ43" i="1"/>
  <c r="AY43" i="1"/>
  <c r="AW43" i="1"/>
  <c r="AV43" i="1"/>
  <c r="AP43" i="1"/>
  <c r="AN43" i="1"/>
  <c r="BB42" i="1"/>
  <c r="AZ42" i="1"/>
  <c r="AY42" i="1"/>
  <c r="AX42" i="1"/>
  <c r="AW42" i="1"/>
  <c r="AV42" i="1"/>
  <c r="AT42" i="1"/>
  <c r="AQ42" i="1"/>
  <c r="AP42" i="1"/>
  <c r="AO42" i="1"/>
  <c r="AN42" i="1"/>
  <c r="BF41" i="1"/>
  <c r="BB41" i="1"/>
  <c r="BA41" i="1"/>
  <c r="AZ41" i="1"/>
  <c r="AY41" i="1"/>
  <c r="AX41" i="1"/>
  <c r="AV41" i="1"/>
  <c r="AU41" i="1"/>
  <c r="AT41" i="1"/>
  <c r="AR41" i="1"/>
  <c r="AP41" i="1"/>
  <c r="AO41" i="1"/>
  <c r="BF40" i="1"/>
  <c r="BE40" i="1"/>
  <c r="BD40" i="1"/>
  <c r="BC40" i="1"/>
  <c r="BB40" i="1"/>
  <c r="BA40" i="1"/>
  <c r="AZ40" i="1"/>
  <c r="AY40" i="1"/>
  <c r="AW40" i="1"/>
  <c r="AU40" i="1"/>
  <c r="AS40" i="1"/>
  <c r="AR40" i="1"/>
  <c r="AQ40" i="1"/>
  <c r="AO40" i="1"/>
  <c r="AN40" i="1"/>
  <c r="AM40" i="1"/>
  <c r="BF39" i="1"/>
  <c r="BE39" i="1"/>
  <c r="BB39" i="1"/>
  <c r="AZ39" i="1"/>
  <c r="AY39" i="1"/>
  <c r="AX39" i="1"/>
  <c r="AW39" i="1"/>
  <c r="AV39" i="1"/>
  <c r="AU39" i="1"/>
  <c r="AT39" i="1"/>
  <c r="AR39" i="1"/>
  <c r="AQ39" i="1"/>
  <c r="AP39" i="1"/>
  <c r="AN39" i="1"/>
  <c r="AJ39" i="1"/>
  <c r="BF38" i="1"/>
  <c r="BE38" i="1"/>
  <c r="BC38" i="1"/>
  <c r="BB38" i="1"/>
  <c r="BA38" i="1"/>
  <c r="AZ38" i="1"/>
  <c r="AY38" i="1"/>
  <c r="AX38" i="1"/>
  <c r="AV38" i="1"/>
  <c r="AU38" i="1"/>
  <c r="AT38" i="1"/>
  <c r="AS38" i="1"/>
  <c r="AR38" i="1"/>
  <c r="AP38" i="1"/>
  <c r="AO38" i="1"/>
  <c r="AM38" i="1"/>
  <c r="AK38" i="1"/>
  <c r="AJ38" i="1"/>
  <c r="BF37" i="1"/>
  <c r="BD37" i="1"/>
  <c r="BB37" i="1"/>
  <c r="AZ37" i="1"/>
  <c r="AX37" i="1"/>
  <c r="AV37" i="1"/>
  <c r="AP37" i="1"/>
  <c r="AN37" i="1"/>
  <c r="BF36" i="1"/>
  <c r="BB36" i="1"/>
  <c r="AY36" i="1"/>
  <c r="AX36" i="1"/>
  <c r="AW36" i="1"/>
  <c r="AV36" i="1"/>
  <c r="BF35" i="1"/>
  <c r="BE35" i="1"/>
  <c r="BD35" i="1"/>
  <c r="BC35" i="1"/>
  <c r="BB35" i="1"/>
  <c r="BA35" i="1"/>
  <c r="AZ35" i="1"/>
  <c r="AY35" i="1"/>
  <c r="AN35" i="1"/>
  <c r="BE33" i="1"/>
  <c r="BD33" i="1"/>
  <c r="BC33" i="1"/>
  <c r="BB33" i="1"/>
  <c r="BA33" i="1"/>
  <c r="AZ33" i="1"/>
  <c r="AW33" i="1"/>
  <c r="AO33" i="1"/>
  <c r="AN33" i="1"/>
  <c r="BF27" i="1"/>
  <c r="BE27" i="1"/>
  <c r="BD27" i="1"/>
  <c r="BC27" i="1"/>
  <c r="BB27" i="1"/>
  <c r="BA27" i="1"/>
  <c r="AY27" i="1"/>
  <c r="AX27" i="1"/>
  <c r="AW27" i="1"/>
  <c r="AV27" i="1"/>
  <c r="AU27" i="1"/>
  <c r="AR27" i="1"/>
  <c r="AQ27" i="1"/>
  <c r="AP27" i="1"/>
  <c r="AO27" i="1"/>
  <c r="AN27" i="1"/>
  <c r="AM27" i="1"/>
  <c r="AL27" i="1"/>
  <c r="BE26" i="1"/>
  <c r="BD26" i="1"/>
  <c r="BB26" i="1"/>
  <c r="AW26" i="1"/>
  <c r="AV26" i="1"/>
  <c r="AU26" i="1"/>
  <c r="AQ26" i="1"/>
  <c r="AP26" i="1"/>
  <c r="AO26" i="1"/>
  <c r="AL26" i="1"/>
  <c r="AK26" i="1"/>
  <c r="BD25" i="1"/>
  <c r="BC25" i="1"/>
  <c r="BB25" i="1"/>
  <c r="AY25" i="1"/>
  <c r="AW25" i="1"/>
  <c r="AV25" i="1"/>
  <c r="AU25" i="1"/>
  <c r="AQ25" i="1"/>
  <c r="AN25" i="1"/>
  <c r="AL25" i="1"/>
  <c r="AK25" i="1"/>
  <c r="BC24" i="1"/>
  <c r="BB24" i="1"/>
  <c r="AY24" i="1"/>
  <c r="AX24" i="1"/>
  <c r="AW24" i="1"/>
  <c r="AV24" i="1"/>
  <c r="AU24" i="1"/>
  <c r="AT24" i="1"/>
  <c r="AQ24" i="1"/>
  <c r="AO24" i="1"/>
  <c r="AL24" i="1"/>
  <c r="AK24" i="1"/>
  <c r="BB23" i="1"/>
  <c r="AZ23" i="1"/>
  <c r="AY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BA22" i="1"/>
  <c r="AX22" i="1"/>
  <c r="AW22" i="1"/>
  <c r="AV22" i="1"/>
  <c r="AT22" i="1"/>
  <c r="AR22" i="1"/>
  <c r="AQ22" i="1"/>
  <c r="AO22" i="1"/>
  <c r="AL22" i="1"/>
  <c r="AK22" i="1"/>
  <c r="AZ21" i="1"/>
  <c r="AY21" i="1"/>
  <c r="AW21" i="1"/>
  <c r="AV21" i="1"/>
  <c r="AU21" i="1"/>
  <c r="AT21" i="1"/>
  <c r="AS21" i="1"/>
  <c r="AR21" i="1"/>
  <c r="AQ21" i="1"/>
  <c r="AP21" i="1"/>
  <c r="AO21" i="1"/>
  <c r="AN21" i="1"/>
  <c r="AL21" i="1"/>
  <c r="AK21" i="1"/>
  <c r="AY20" i="1"/>
  <c r="AX20" i="1"/>
  <c r="AW20" i="1"/>
  <c r="AU20" i="1"/>
  <c r="AT20" i="1"/>
  <c r="AS20" i="1"/>
  <c r="AR20" i="1"/>
  <c r="AQ20" i="1"/>
  <c r="AP20" i="1"/>
  <c r="AO20" i="1"/>
  <c r="AM20" i="1"/>
  <c r="AL20" i="1"/>
  <c r="AX19" i="1"/>
  <c r="AW19" i="1"/>
  <c r="AV19" i="1"/>
  <c r="AS19" i="1"/>
  <c r="AR19" i="1"/>
  <c r="AP19" i="1"/>
  <c r="AO19" i="1"/>
  <c r="AN19" i="1"/>
  <c r="AM19" i="1"/>
  <c r="AY18" i="1"/>
  <c r="AW18" i="1"/>
  <c r="AV18" i="1"/>
  <c r="AU18" i="1"/>
  <c r="AT18" i="1"/>
  <c r="AS18" i="1"/>
  <c r="AQ18" i="1"/>
  <c r="AP18" i="1"/>
  <c r="AM18" i="1"/>
  <c r="AK18" i="1"/>
  <c r="AY17" i="1"/>
  <c r="AX17" i="1"/>
  <c r="AV17" i="1"/>
  <c r="AU17" i="1"/>
  <c r="AT17" i="1"/>
  <c r="AS17" i="1"/>
  <c r="AR17" i="1"/>
  <c r="AP17" i="1"/>
  <c r="AO17" i="1"/>
  <c r="AN17" i="1"/>
  <c r="AM17" i="1"/>
  <c r="AY28" i="1"/>
  <c r="AX28" i="1"/>
  <c r="AW28" i="1"/>
  <c r="AU28" i="1"/>
  <c r="AR28" i="1"/>
  <c r="AQ28" i="1"/>
  <c r="AP28" i="1"/>
  <c r="AO28" i="1"/>
  <c r="AX16" i="1"/>
  <c r="AW16" i="1"/>
  <c r="AV16" i="1"/>
  <c r="AS16" i="1"/>
  <c r="AR16" i="1"/>
  <c r="AP16" i="1"/>
  <c r="AO16" i="1"/>
  <c r="AX15" i="1"/>
  <c r="AW15" i="1"/>
  <c r="AQ15" i="1"/>
  <c r="AO15" i="1"/>
  <c r="AY14" i="1"/>
  <c r="AX14" i="1"/>
  <c r="AW14" i="1"/>
  <c r="AU14" i="1"/>
  <c r="AR14" i="1"/>
  <c r="AQ14" i="1"/>
  <c r="AP14" i="1"/>
  <c r="AO14" i="1"/>
  <c r="AY13" i="1"/>
  <c r="AW13" i="1"/>
  <c r="AV13" i="1"/>
  <c r="AU13" i="1"/>
  <c r="AS13" i="1"/>
  <c r="AQ13" i="1"/>
  <c r="AP13" i="1"/>
  <c r="AX12" i="1"/>
  <c r="AV12" i="1"/>
  <c r="AT12" i="1"/>
  <c r="AS12" i="1"/>
  <c r="AR12" i="1"/>
  <c r="AP12" i="1"/>
  <c r="AO12" i="1"/>
  <c r="AN12" i="1"/>
  <c r="AY11" i="1"/>
  <c r="AX11" i="1"/>
  <c r="AW11" i="1"/>
  <c r="AV11" i="1"/>
  <c r="AU11" i="1"/>
  <c r="AS11" i="1"/>
  <c r="AR11" i="1"/>
  <c r="AQ11" i="1"/>
  <c r="AO11" i="1"/>
  <c r="AK11" i="1"/>
  <c r="AY10" i="1"/>
  <c r="AW10" i="1"/>
  <c r="AV10" i="1"/>
  <c r="AU10" i="1"/>
  <c r="AT10" i="1"/>
  <c r="AS10" i="1"/>
  <c r="AQ10" i="1"/>
  <c r="AP10" i="1"/>
  <c r="AN10" i="1"/>
  <c r="AL10" i="1"/>
  <c r="AK10" i="1"/>
  <c r="AY9" i="1"/>
  <c r="AW9" i="1"/>
  <c r="AQ9" i="1"/>
  <c r="AO9" i="1"/>
  <c r="AY8" i="1"/>
  <c r="AX8" i="1"/>
  <c r="AW8" i="1"/>
  <c r="AO7" i="1"/>
  <c r="AX6" i="1"/>
  <c r="AP6" i="1"/>
  <c r="AO6" i="1"/>
  <c r="W27" i="1"/>
  <c r="V27" i="1"/>
  <c r="V26" i="1"/>
  <c r="U27" i="1"/>
  <c r="U26" i="1"/>
  <c r="T27" i="1"/>
  <c r="T25" i="1"/>
  <c r="T24" i="1"/>
  <c r="S27" i="1"/>
  <c r="S26" i="1"/>
  <c r="S25" i="1"/>
  <c r="S24" i="1"/>
  <c r="R27" i="1"/>
  <c r="R22" i="1"/>
  <c r="Q23" i="1"/>
  <c r="Q21" i="1"/>
  <c r="P27" i="1"/>
  <c r="P25" i="1"/>
  <c r="P24" i="1"/>
  <c r="P23" i="1"/>
  <c r="P21" i="1"/>
  <c r="P20" i="1"/>
  <c r="O24" i="1"/>
  <c r="O22" i="1"/>
  <c r="O20" i="1"/>
  <c r="N27" i="1"/>
  <c r="N26" i="1"/>
  <c r="N25" i="1"/>
  <c r="N24" i="1"/>
  <c r="N23" i="1"/>
  <c r="N22" i="1"/>
  <c r="N21" i="1"/>
  <c r="N20" i="1"/>
  <c r="Y27" i="1"/>
  <c r="Y26" i="1"/>
  <c r="Y25" i="1"/>
  <c r="Y24" i="1"/>
  <c r="Y23" i="1"/>
  <c r="Y22" i="1"/>
  <c r="Y21" i="1"/>
  <c r="M27" i="1"/>
  <c r="M26" i="1"/>
  <c r="M25" i="1"/>
  <c r="M24" i="1"/>
  <c r="M21" i="1"/>
  <c r="M23" i="1"/>
  <c r="M20" i="1"/>
  <c r="L24" i="1"/>
  <c r="L23" i="1"/>
  <c r="L22" i="1"/>
  <c r="L21" i="1"/>
  <c r="L20" i="1"/>
  <c r="K23" i="1"/>
  <c r="K21" i="1"/>
  <c r="K20" i="1"/>
  <c r="J27" i="1"/>
  <c r="J23" i="1"/>
  <c r="J22" i="1"/>
  <c r="J21" i="1"/>
  <c r="J20" i="1"/>
  <c r="I27" i="1"/>
  <c r="I26" i="1"/>
  <c r="I25" i="1"/>
  <c r="I24" i="1"/>
  <c r="I23" i="1"/>
  <c r="I22" i="1"/>
  <c r="I21" i="1"/>
  <c r="I20" i="1"/>
  <c r="H27" i="1"/>
  <c r="H26" i="1"/>
  <c r="H23" i="1"/>
  <c r="H21" i="1"/>
  <c r="H20" i="1"/>
  <c r="G27" i="1"/>
  <c r="G26" i="1"/>
  <c r="G24" i="1"/>
  <c r="G23" i="1"/>
  <c r="G22" i="1"/>
  <c r="G21" i="1"/>
  <c r="G20" i="1"/>
  <c r="F27" i="1"/>
  <c r="F25" i="1"/>
  <c r="F23" i="1"/>
  <c r="F21" i="1"/>
  <c r="E27" i="1"/>
  <c r="E23" i="1"/>
  <c r="E20" i="1"/>
  <c r="D27" i="1"/>
  <c r="D26" i="1"/>
  <c r="D25" i="1"/>
  <c r="D24" i="1"/>
  <c r="D23" i="1"/>
  <c r="D22" i="1"/>
  <c r="D21" i="1"/>
  <c r="D20" i="1"/>
  <c r="C26" i="1"/>
  <c r="C25" i="1"/>
  <c r="C24" i="1"/>
  <c r="C23" i="1"/>
  <c r="C22" i="1"/>
  <c r="C21" i="1"/>
  <c r="D34" i="1"/>
  <c r="C34" i="1"/>
  <c r="B34" i="1"/>
  <c r="C4" i="1"/>
  <c r="D4" i="1"/>
  <c r="F4" i="1"/>
  <c r="H4" i="1"/>
  <c r="J4" i="1"/>
  <c r="L4" i="1"/>
  <c r="N4" i="1"/>
  <c r="P4" i="1"/>
  <c r="R4" i="1"/>
  <c r="T4" i="1"/>
  <c r="V4" i="1"/>
  <c r="Y4" i="1"/>
  <c r="E4" i="1"/>
  <c r="G4" i="1"/>
  <c r="I4" i="1"/>
  <c r="K4" i="1"/>
  <c r="M4" i="1"/>
  <c r="Q4" i="1"/>
  <c r="S4" i="1"/>
  <c r="U4" i="1"/>
  <c r="W4" i="1"/>
  <c r="B32" i="1"/>
  <c r="C2" i="1"/>
  <c r="J3" i="1"/>
  <c r="M3" i="1"/>
  <c r="E3" i="1"/>
  <c r="C32" i="1"/>
  <c r="D3" i="1"/>
  <c r="G3" i="1"/>
  <c r="N3" i="1"/>
  <c r="L3" i="1"/>
  <c r="D2" i="1"/>
  <c r="B33" i="1"/>
  <c r="C3" i="1"/>
  <c r="F3" i="1"/>
  <c r="Y3" i="1"/>
  <c r="I3" i="1"/>
  <c r="P3" i="1"/>
  <c r="E2" i="1"/>
  <c r="H3" i="1"/>
  <c r="K3" i="1"/>
  <c r="O3" i="1"/>
  <c r="D32" i="1"/>
  <c r="C33" i="1"/>
  <c r="X4" i="1"/>
  <c r="O4" i="1"/>
  <c r="D58" i="1" l="1"/>
  <c r="D33" i="1"/>
</calcChain>
</file>

<file path=xl/sharedStrings.xml><?xml version="1.0" encoding="utf-8"?>
<sst xmlns="http://schemas.openxmlformats.org/spreadsheetml/2006/main" count="142" uniqueCount="32">
  <si>
    <t>London</t>
  </si>
  <si>
    <t>Birmingham</t>
  </si>
  <si>
    <t>Manchester</t>
  </si>
  <si>
    <t>Leeds</t>
  </si>
  <si>
    <t>Pairwise Times</t>
  </si>
  <si>
    <t>Locations</t>
  </si>
  <si>
    <t>lats</t>
  </si>
  <si>
    <t>longs</t>
  </si>
  <si>
    <t>cities</t>
  </si>
  <si>
    <t>Newcastle</t>
  </si>
  <si>
    <t>Bristol</t>
  </si>
  <si>
    <t>Cardiff</t>
  </si>
  <si>
    <t>Liverpool</t>
  </si>
  <si>
    <t>Edinburgh</t>
  </si>
  <si>
    <t>Glasgow</t>
  </si>
  <si>
    <t>Brighton</t>
  </si>
  <si>
    <t>Sheffield</t>
  </si>
  <si>
    <t>Southampton</t>
  </si>
  <si>
    <t>Nottingham</t>
  </si>
  <si>
    <t>Leicester</t>
  </si>
  <si>
    <t>Big cities (go down in size of associated urban area to include national capitals)</t>
  </si>
  <si>
    <t>15 cities</t>
  </si>
  <si>
    <t>3 cities</t>
  </si>
  <si>
    <t>Norwich</t>
  </si>
  <si>
    <t>Aberdeen</t>
  </si>
  <si>
    <t>Plymouth</t>
  </si>
  <si>
    <t>Inverness</t>
  </si>
  <si>
    <t>Hull</t>
  </si>
  <si>
    <t>Carlisle</t>
  </si>
  <si>
    <t>Middlesbrough</t>
  </si>
  <si>
    <t>Canterbury</t>
  </si>
  <si>
    <t>22 cities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</si>
</sst>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G58"/>
  <sheetViews>
    <sheetView tabSelected="1" topLeftCell="C1" zoomScale="70" zoomScaleNormal="70" workbookViewId="0">
      <selection activeCell="C4" sqref="C4:X4"/>
    </sheetView>
  </sheetViews>
  <sheetFormatPr defaultRowHeight="15" x14ac:dyDescent="0.25"/>
  <cols>
    <col min="2" max="2" width="15" customWidth="1"/>
    <col min="3" max="3" width="12" bestFit="1" customWidth="1"/>
    <col min="4" max="4" width="11.42578125" bestFit="1" customWidth="1"/>
    <col min="5" max="5" width="11.7109375" bestFit="1" customWidth="1"/>
    <col min="18" max="18" width="10" bestFit="1" customWidth="1"/>
    <col min="19" max="19" width="11" customWidth="1"/>
    <col min="20" max="20" width="9.5703125" customWidth="1"/>
    <col min="21" max="21" width="5" bestFit="1" customWidth="1"/>
    <col min="22" max="22" width="12.85546875" bestFit="1" customWidth="1"/>
    <col min="23" max="23" width="12.85546875" customWidth="1"/>
  </cols>
  <sheetData>
    <row r="1" spans="2:59" x14ac:dyDescent="0.25">
      <c r="B1" s="1" t="s">
        <v>4</v>
      </c>
    </row>
    <row r="2" spans="2:59" x14ac:dyDescent="0.25">
      <c r="B2" s="1" t="s">
        <v>22</v>
      </c>
      <c r="C2" t="str">
        <f>asjsarray(C5:C8)</f>
        <v>var London = [0, 82, 125];</v>
      </c>
      <c r="D2" t="str">
        <f t="shared" ref="D2:E2" si="0">asjsarray(D5:D8)</f>
        <v>var Birmingham = [82, 0, 85];</v>
      </c>
      <c r="E2" t="str">
        <f t="shared" si="0"/>
        <v>var Manchester = [125, 85, 0];</v>
      </c>
    </row>
    <row r="3" spans="2:59" x14ac:dyDescent="0.25">
      <c r="B3" s="1" t="s">
        <v>21</v>
      </c>
      <c r="C3" t="str">
        <f t="shared" ref="C3:P3" si="1">asjsarray(C5:C19)</f>
        <v>var London = [0, 82, 125, 132, 271, 128, 87, 170, 104, 125, 100, 65, 262, 121];</v>
      </c>
      <c r="D3" t="str">
        <f t="shared" si="1"/>
        <v>var Birmingham = [82, 0, 85, 118, 236, 103, 159, 197, 82, 74, 86, 178, 241, 119];</v>
      </c>
      <c r="E3" t="str">
        <f t="shared" si="1"/>
        <v>var Manchester = [125, 85, 0, 52, 189, 51, 246, 158, 107, 50, 181, 225, 199, 201];</v>
      </c>
      <c r="F3" t="str">
        <f t="shared" si="1"/>
        <v>var Leeds = [132, 118, 52, 0, 249, 110, 301, 89, 117, 40, 209, 240, 180, 263];</v>
      </c>
      <c r="G3" t="str">
        <f t="shared" si="1"/>
        <v>var Glasgow = [271, 236, 189, 249, 0, 205, 402, 123, 330, 290, 351, 372, 54, 338];</v>
      </c>
      <c r="H3" t="str">
        <f t="shared" si="1"/>
        <v>var Liverpool = [128, 103, 51, 110, 205, 0, 278, 210, 168, 113, 197, 220, 204, 213];</v>
      </c>
      <c r="I3" t="str">
        <f t="shared" si="1"/>
        <v>var Southampton = [87, 159, 246, 301, 402, 278, 0, 320, 257, 242, 115, 105, 426, 171];</v>
      </c>
      <c r="J3" t="str">
        <f t="shared" si="1"/>
        <v>var Newcastle = [170, 197, 158, 89, 123, 210, 320, 0, 185, 113, 295, 270, 89, 337];</v>
      </c>
      <c r="K3" t="str">
        <f t="shared" si="1"/>
        <v>var Nottingham = [104, 82, 107, 117, 330, 168, 257, 185, 0, 51, 182, 216, 290, 210];</v>
      </c>
      <c r="L3" t="str">
        <f t="shared" si="1"/>
        <v>var Sheffield = [125, 74, 50, 40, 290, 113, 242, 113, 51, 0, 168, 235, 225, 212];</v>
      </c>
      <c r="M3" t="str">
        <f t="shared" si="1"/>
        <v>var Bristol = [100, 86, 181, 209, 351, 197, 115, 295, 182, 168, 0, 148, 398, 50];</v>
      </c>
      <c r="N3" t="str">
        <f t="shared" si="1"/>
        <v>var Brighton = [65, 178, 225, 240, 372, 220, 105, 270, 216, 235, 148, 0, 381, 246];</v>
      </c>
      <c r="O3" t="str">
        <f t="shared" si="1"/>
        <v>var Edinburgh = [262, 241, 199, 180, 54, 204, 426, 89, 290, 225, 398, 381, 0, 345];</v>
      </c>
      <c r="P3" t="str">
        <f t="shared" si="1"/>
        <v>var Cardiff = [121, 119, 201, 263, 338, 213, 171, 337, 210, 212, 50, 246, 345, 0];</v>
      </c>
      <c r="Y3" t="str">
        <f>asjsarray(Y5:Y19)</f>
        <v>var Leicester = [69, 55, 120, 143, 324, 199, 214, 168, 27, 56, 164, 194, 305, 191];</v>
      </c>
      <c r="AA3" t="s">
        <v>20</v>
      </c>
    </row>
    <row r="4" spans="2:59" x14ac:dyDescent="0.25">
      <c r="B4" s="1" t="s">
        <v>31</v>
      </c>
      <c r="C4" t="str">
        <f>asjsarray(C5:C27)</f>
        <v>var London = [0, 82, 125, 132, 271, 128, 87, 170, 104, 125, 100, 65, 262, 121, 113, 426, 227, 486, 160, 196, 180, 56];</v>
      </c>
      <c r="D4" t="str">
        <f t="shared" ref="D4:W4" si="2">asjsarray(D5:D27)</f>
        <v>var Birmingham = [82, 0, 85, 118, 236, 103, 159, 197, 82, 74, 86, 178, 241, 119, 233, 390, 207, 454, 186, 162, 207, 188];</v>
      </c>
      <c r="E4" t="str">
        <f t="shared" si="2"/>
        <v>var Manchester = [125, 85, 0, 52, 189, 51, 246, 158, 107, 50, 181, 225, 199, 201, 274, 364, 314, 458, 113, 100, 153, 223];</v>
      </c>
      <c r="F4" t="str">
        <f t="shared" si="2"/>
        <v>var Leeds = [132, 118, 52, 0, 249, 110, 301, 89, 117, 40, 209, 240, 180, 263, 208, 353, 330, 420, 53, 165, 91, 218];</v>
      </c>
      <c r="G4" t="str">
        <f t="shared" si="2"/>
        <v>var Glasgow = [271, 236, 189, 249, 0, 205, 402, 123, 330, 290, 351, 372, 54, 338, 403, 156, 461, 196, 206, 70, 237, 398];</v>
      </c>
      <c r="H4" t="str">
        <f t="shared" si="2"/>
        <v>var Liverpool = [128, 103, 51, 110, 205, 0, 278, 210, 168, 113, 197, 220, 204, 213, 331, 366, 343, 417, 193, 122, 228, 230];</v>
      </c>
      <c r="I4" t="str">
        <f t="shared" si="2"/>
        <v>var Southampton = [87, 159, 246, 301, 402, 278, 0, 320, 257, 242, 115, 105, 426, 171, 260, 583, 231, 636, 288, 331, 330, 188];</v>
      </c>
      <c r="J4" t="str">
        <f t="shared" si="2"/>
        <v>var Newcastle = [170, 197, 158, 89, 123, 210, 320, 0, 185, 113, 295, 270, 89, 337, 255, 262, 418, 302, 139, 82, 79, 280];</v>
      </c>
      <c r="K4" t="str">
        <f t="shared" si="2"/>
        <v>var Nottingham = [104, 82, 107, 117, 330, 168, 257, 185, 0, 51, 182, 216, 290, 210, 160, 455, 304, 540, 178, 241, 185, 190];</v>
      </c>
      <c r="L4" t="str">
        <f t="shared" si="2"/>
        <v>var Sheffield = [125, 74, 50, 40, 290, 113, 242, 113, 51, 0, 168, 235, 225, 212, 220, 389, 287, 453, 88, 182, 129, 237];</v>
      </c>
      <c r="M4" t="str">
        <f t="shared" si="2"/>
        <v>var Bristol = [100, 86, 181, 209, 351, 197, 115, 295, 182, 168, 0, 148, 398, 50, 290, 516, 122, 564, 279, 270, 325, 218];</v>
      </c>
      <c r="N4" t="str">
        <f t="shared" si="2"/>
        <v>var Brighton = [65, 178, 225, 240, 372, 220, 105, 270, 216, 235, 148, 0, 381, 246, 228, 543, 300, 598, 285, 304, 293, 149];</v>
      </c>
      <c r="O4" t="str">
        <f t="shared" si="2"/>
        <v>var Edinburgh = [262, 241, 199, 180, 54, 204, 426, 89, 290, 225, 398, 381, 0, 345, 343, 140, 518, 202, 233, 77, 169, 357];</v>
      </c>
      <c r="P4" t="str">
        <f t="shared" si="2"/>
        <v>var Cardiff = [121, 119, 201, 263, 338, 213, 171, 337, 210, 212, 50, 246, 345, 0, 295, 541, 197, 573, 314, 279, 360, 223];</v>
      </c>
      <c r="Q4" t="str">
        <f t="shared" si="2"/>
        <v>var Norwich = [113, 233, 274, 208, 403, 331, 260, 255, 160, 220, 290, 228, 343, 295, 0, 541, 361, 537, 239, 360, 240, 188];</v>
      </c>
      <c r="R4" t="str">
        <f t="shared" si="2"/>
        <v>var Aberdeen = [426, 390, 364, 353, 156, 366, 583, 262, 455, 389, 516, 543, 140, 541, 541, 0, 686, 130, 402, 226, 327, 526];</v>
      </c>
      <c r="S4" t="str">
        <f t="shared" si="2"/>
        <v>var Plymouth = [227, 207, 314, 330, 461, 343, 231, 418, 304, 287, 122, 300, 518, 197, 361, 686, 0, 701, 404, 395, 420, 328];</v>
      </c>
      <c r="T4" t="str">
        <f t="shared" si="2"/>
        <v>var Inverness = [486, 454, 458, 420, 196, 417, 636, 302, 540, 453, 564, 598, 202, 573, 537, 130, 701, 0, 473, 303, 385, 585];</v>
      </c>
      <c r="U4" t="str">
        <f t="shared" si="2"/>
        <v>var Hull = [160, 186, 113, 53, 206, 193, 288, 139, 178, 88, 279, 285, 233, 314, 239, 402, 404, 473, 0, 237, 174, 253];</v>
      </c>
      <c r="V4" t="str">
        <f t="shared" si="2"/>
        <v>var Carlisle = [196, 162, 100, 165, 70, 122, 331, 82, 241, 182, 270, 304, 77, 279, 360, 226, 395, 303, 237, 0, 171, 334];</v>
      </c>
      <c r="W4" t="str">
        <f t="shared" si="2"/>
        <v>var Middlesbrough = [180, 207, 153, 91, 237, 228, 330, 79, 185, 129, 325, 293, 169, 360, 240, 327, 420, 385, 174, 171, 0, 288];</v>
      </c>
      <c r="X4" t="str">
        <f>asjsarray(X5:X27)</f>
        <v>var Canterbury = [56, 188, 223, 218, 398, 230, 188, 280, 190, 237, 218, 149, 357, 223, 188, 526, 328, 585, 253, 334, 288, 0];</v>
      </c>
      <c r="Y4" t="str">
        <f>asjsarray(Y5:Y27)</f>
        <v>var Leicester = [69, 55, 120, 143, 324, 199, 214, 168, 27, 56, 164, 194, 305, 191, 176, 460, 292, 557, 177, 232, 213, 161];</v>
      </c>
    </row>
    <row r="5" spans="2:59" x14ac:dyDescent="0.25">
      <c r="C5" t="s">
        <v>0</v>
      </c>
      <c r="D5" t="s">
        <v>1</v>
      </c>
      <c r="E5" t="s">
        <v>2</v>
      </c>
      <c r="F5" t="s">
        <v>3</v>
      </c>
      <c r="G5" t="s">
        <v>14</v>
      </c>
      <c r="H5" t="s">
        <v>12</v>
      </c>
      <c r="I5" t="s">
        <v>17</v>
      </c>
      <c r="J5" t="s">
        <v>9</v>
      </c>
      <c r="K5" t="s">
        <v>18</v>
      </c>
      <c r="L5" t="s">
        <v>16</v>
      </c>
      <c r="M5" t="s">
        <v>10</v>
      </c>
      <c r="N5" t="s">
        <v>15</v>
      </c>
      <c r="O5" t="s">
        <v>13</v>
      </c>
      <c r="P5" t="s">
        <v>11</v>
      </c>
      <c r="Q5" t="s">
        <v>23</v>
      </c>
      <c r="R5" t="s">
        <v>24</v>
      </c>
      <c r="S5" t="s">
        <v>25</v>
      </c>
      <c r="T5" t="s">
        <v>26</v>
      </c>
      <c r="U5" t="s">
        <v>27</v>
      </c>
      <c r="V5" t="s">
        <v>28</v>
      </c>
      <c r="W5" t="s">
        <v>29</v>
      </c>
      <c r="X5" t="s">
        <v>30</v>
      </c>
      <c r="Y5" t="s">
        <v>19</v>
      </c>
      <c r="AA5" t="s">
        <v>0</v>
      </c>
      <c r="AK5" t="s">
        <v>0</v>
      </c>
      <c r="AL5" t="s">
        <v>1</v>
      </c>
      <c r="AM5" t="s">
        <v>2</v>
      </c>
      <c r="AN5" t="s">
        <v>3</v>
      </c>
      <c r="AO5" t="s">
        <v>14</v>
      </c>
      <c r="AP5" t="s">
        <v>12</v>
      </c>
      <c r="AQ5" t="s">
        <v>17</v>
      </c>
      <c r="AR5" t="s">
        <v>9</v>
      </c>
      <c r="AS5" t="s">
        <v>18</v>
      </c>
      <c r="AT5" t="s">
        <v>16</v>
      </c>
      <c r="AU5" t="s">
        <v>10</v>
      </c>
      <c r="AV5" t="s">
        <v>19</v>
      </c>
      <c r="AW5" t="s">
        <v>15</v>
      </c>
      <c r="AX5" t="s">
        <v>13</v>
      </c>
      <c r="AY5" t="s">
        <v>11</v>
      </c>
      <c r="AZ5" t="s">
        <v>23</v>
      </c>
      <c r="BA5" t="s">
        <v>24</v>
      </c>
      <c r="BB5" t="s">
        <v>25</v>
      </c>
      <c r="BC5" t="s">
        <v>26</v>
      </c>
      <c r="BD5" t="s">
        <v>27</v>
      </c>
      <c r="BE5" t="s">
        <v>28</v>
      </c>
      <c r="BF5" t="s">
        <v>29</v>
      </c>
      <c r="BG5" t="s">
        <v>30</v>
      </c>
    </row>
    <row r="6" spans="2:59" x14ac:dyDescent="0.25">
      <c r="B6" t="s">
        <v>0</v>
      </c>
      <c r="C6">
        <v>0</v>
      </c>
      <c r="D6">
        <v>82</v>
      </c>
      <c r="E6">
        <v>125</v>
      </c>
      <c r="F6">
        <v>132</v>
      </c>
      <c r="G6">
        <f>4*60+31</f>
        <v>271</v>
      </c>
      <c r="H6">
        <f>128</f>
        <v>128</v>
      </c>
      <c r="I6">
        <v>87</v>
      </c>
      <c r="J6">
        <v>170</v>
      </c>
      <c r="K6">
        <v>104</v>
      </c>
      <c r="L6">
        <v>125</v>
      </c>
      <c r="M6">
        <v>100</v>
      </c>
      <c r="N6">
        <v>65</v>
      </c>
      <c r="O6">
        <f>4*60+22</f>
        <v>262</v>
      </c>
      <c r="P6">
        <v>121</v>
      </c>
      <c r="Q6">
        <v>113</v>
      </c>
      <c r="R6">
        <f>7*60+6</f>
        <v>426</v>
      </c>
      <c r="S6">
        <f>3*60+47</f>
        <v>227</v>
      </c>
      <c r="T6">
        <f>8*60+6</f>
        <v>486</v>
      </c>
      <c r="U6">
        <f>2*60+40</f>
        <v>160</v>
      </c>
      <c r="V6">
        <f>3*60+16</f>
        <v>196</v>
      </c>
      <c r="W6">
        <f>3*60</f>
        <v>180</v>
      </c>
      <c r="X6">
        <v>56</v>
      </c>
      <c r="Y6">
        <v>69</v>
      </c>
      <c r="AA6" t="s">
        <v>1</v>
      </c>
      <c r="AJ6" t="s">
        <v>0</v>
      </c>
      <c r="AK6">
        <v>0</v>
      </c>
      <c r="AL6">
        <v>82</v>
      </c>
      <c r="AM6">
        <v>125</v>
      </c>
      <c r="AN6">
        <v>132</v>
      </c>
      <c r="AO6">
        <f>4*60+31</f>
        <v>271</v>
      </c>
      <c r="AP6">
        <f>128</f>
        <v>128</v>
      </c>
      <c r="AQ6">
        <v>87</v>
      </c>
      <c r="AR6">
        <v>170</v>
      </c>
      <c r="AS6">
        <v>104</v>
      </c>
      <c r="AT6">
        <v>125</v>
      </c>
      <c r="AU6">
        <v>100</v>
      </c>
      <c r="AV6">
        <v>69</v>
      </c>
      <c r="AW6">
        <v>65</v>
      </c>
      <c r="AX6">
        <f>4*60+22</f>
        <v>262</v>
      </c>
      <c r="AY6">
        <v>121</v>
      </c>
    </row>
    <row r="7" spans="2:59" x14ac:dyDescent="0.25">
      <c r="B7" t="s">
        <v>1</v>
      </c>
      <c r="C7">
        <v>82</v>
      </c>
      <c r="D7">
        <v>0</v>
      </c>
      <c r="E7">
        <v>85</v>
      </c>
      <c r="F7">
        <v>118</v>
      </c>
      <c r="G7">
        <f>3*60+56</f>
        <v>236</v>
      </c>
      <c r="H7">
        <v>103</v>
      </c>
      <c r="I7">
        <v>159</v>
      </c>
      <c r="J7">
        <v>197</v>
      </c>
      <c r="K7">
        <v>82</v>
      </c>
      <c r="L7">
        <v>74</v>
      </c>
      <c r="M7">
        <v>86</v>
      </c>
      <c r="N7" s="3">
        <v>178</v>
      </c>
      <c r="O7">
        <v>241</v>
      </c>
      <c r="P7">
        <v>119</v>
      </c>
      <c r="Q7">
        <f>3*60+53</f>
        <v>233</v>
      </c>
      <c r="R7">
        <f>6*60+30</f>
        <v>390</v>
      </c>
      <c r="S7">
        <f>3*60+27</f>
        <v>207</v>
      </c>
      <c r="T7">
        <f>7*60+34</f>
        <v>454</v>
      </c>
      <c r="U7">
        <f>3*60+6</f>
        <v>186</v>
      </c>
      <c r="V7">
        <f>2*60+42</f>
        <v>162</v>
      </c>
      <c r="W7">
        <f>3*60+27</f>
        <v>207</v>
      </c>
      <c r="X7">
        <f>3*60+8</f>
        <v>188</v>
      </c>
      <c r="Y7">
        <v>55</v>
      </c>
      <c r="AA7" t="s">
        <v>2</v>
      </c>
      <c r="AJ7" t="s">
        <v>1</v>
      </c>
      <c r="AK7">
        <v>82</v>
      </c>
      <c r="AL7">
        <v>0</v>
      </c>
      <c r="AM7">
        <v>85</v>
      </c>
      <c r="AN7">
        <v>118</v>
      </c>
      <c r="AO7">
        <f>3*60+56</f>
        <v>236</v>
      </c>
      <c r="AP7">
        <v>103</v>
      </c>
      <c r="AQ7">
        <v>159</v>
      </c>
      <c r="AR7">
        <v>197</v>
      </c>
      <c r="AS7">
        <v>82</v>
      </c>
      <c r="AT7">
        <v>74</v>
      </c>
      <c r="AU7">
        <v>86</v>
      </c>
      <c r="AV7">
        <v>55</v>
      </c>
      <c r="AW7" s="3">
        <v>178</v>
      </c>
      <c r="AX7">
        <v>241</v>
      </c>
      <c r="AY7">
        <v>119</v>
      </c>
    </row>
    <row r="8" spans="2:59" x14ac:dyDescent="0.25">
      <c r="B8" t="s">
        <v>2</v>
      </c>
      <c r="C8">
        <v>125</v>
      </c>
      <c r="D8">
        <v>85</v>
      </c>
      <c r="E8">
        <v>0</v>
      </c>
      <c r="F8">
        <v>52</v>
      </c>
      <c r="G8">
        <v>189</v>
      </c>
      <c r="H8">
        <v>51</v>
      </c>
      <c r="I8">
        <v>246</v>
      </c>
      <c r="J8">
        <v>158</v>
      </c>
      <c r="K8">
        <v>107</v>
      </c>
      <c r="L8">
        <v>50</v>
      </c>
      <c r="M8">
        <v>181</v>
      </c>
      <c r="N8" s="3">
        <f>3*60+45</f>
        <v>225</v>
      </c>
      <c r="O8">
        <f>3*60+19</f>
        <v>199</v>
      </c>
      <c r="P8">
        <f>3*60+21</f>
        <v>201</v>
      </c>
      <c r="Q8">
        <f>4*60+34</f>
        <v>274</v>
      </c>
      <c r="R8">
        <v>364</v>
      </c>
      <c r="S8">
        <v>314</v>
      </c>
      <c r="T8">
        <f>7*60+38</f>
        <v>458</v>
      </c>
      <c r="U8">
        <v>113</v>
      </c>
      <c r="V8">
        <v>100</v>
      </c>
      <c r="W8">
        <v>153</v>
      </c>
      <c r="X8">
        <f>3*60+43</f>
        <v>223</v>
      </c>
      <c r="Y8" s="3">
        <v>120</v>
      </c>
      <c r="AA8" t="s">
        <v>3</v>
      </c>
      <c r="AJ8" t="s">
        <v>2</v>
      </c>
      <c r="AK8">
        <v>125</v>
      </c>
      <c r="AL8">
        <v>85</v>
      </c>
      <c r="AM8">
        <v>0</v>
      </c>
      <c r="AN8">
        <v>52</v>
      </c>
      <c r="AO8">
        <v>189</v>
      </c>
      <c r="AP8">
        <v>51</v>
      </c>
      <c r="AQ8">
        <v>246</v>
      </c>
      <c r="AR8">
        <v>158</v>
      </c>
      <c r="AS8">
        <v>107</v>
      </c>
      <c r="AT8">
        <v>50</v>
      </c>
      <c r="AU8">
        <v>181</v>
      </c>
      <c r="AV8" s="3">
        <v>120</v>
      </c>
      <c r="AW8" s="3">
        <f>3*60+45</f>
        <v>225</v>
      </c>
      <c r="AX8">
        <f>3*60+19</f>
        <v>199</v>
      </c>
      <c r="AY8">
        <f>3*60+21</f>
        <v>201</v>
      </c>
    </row>
    <row r="9" spans="2:59" x14ac:dyDescent="0.25">
      <c r="B9" t="s">
        <v>3</v>
      </c>
      <c r="C9">
        <v>132</v>
      </c>
      <c r="D9">
        <v>118</v>
      </c>
      <c r="E9">
        <v>52</v>
      </c>
      <c r="F9">
        <v>0</v>
      </c>
      <c r="G9" s="4">
        <f>4*60+9</f>
        <v>249</v>
      </c>
      <c r="H9">
        <v>110</v>
      </c>
      <c r="I9">
        <f>5*60+1</f>
        <v>301</v>
      </c>
      <c r="J9">
        <v>89</v>
      </c>
      <c r="K9">
        <v>117</v>
      </c>
      <c r="L9">
        <v>40</v>
      </c>
      <c r="M9">
        <v>209</v>
      </c>
      <c r="N9" s="3">
        <f>4*60</f>
        <v>240</v>
      </c>
      <c r="O9">
        <v>180</v>
      </c>
      <c r="P9" s="3">
        <f>4*60+23</f>
        <v>263</v>
      </c>
      <c r="Q9">
        <v>208</v>
      </c>
      <c r="R9">
        <f>5*60+53</f>
        <v>353</v>
      </c>
      <c r="S9">
        <v>330</v>
      </c>
      <c r="T9">
        <f>7*60</f>
        <v>420</v>
      </c>
      <c r="U9">
        <v>53</v>
      </c>
      <c r="V9">
        <f>2*60+45</f>
        <v>165</v>
      </c>
      <c r="W9">
        <v>91</v>
      </c>
      <c r="X9">
        <f>3*60+38</f>
        <v>218</v>
      </c>
      <c r="Y9">
        <v>143</v>
      </c>
      <c r="AA9" t="s">
        <v>14</v>
      </c>
      <c r="AJ9" t="s">
        <v>3</v>
      </c>
      <c r="AK9">
        <v>132</v>
      </c>
      <c r="AL9">
        <v>118</v>
      </c>
      <c r="AM9">
        <v>52</v>
      </c>
      <c r="AN9">
        <v>0</v>
      </c>
      <c r="AO9" s="4">
        <f>4*60+9</f>
        <v>249</v>
      </c>
      <c r="AP9">
        <v>110</v>
      </c>
      <c r="AQ9">
        <f>5*60+1</f>
        <v>301</v>
      </c>
      <c r="AR9">
        <v>89</v>
      </c>
      <c r="AS9">
        <v>117</v>
      </c>
      <c r="AT9">
        <v>40</v>
      </c>
      <c r="AU9">
        <v>209</v>
      </c>
      <c r="AV9">
        <v>143</v>
      </c>
      <c r="AW9" s="3">
        <f>4*60</f>
        <v>240</v>
      </c>
      <c r="AX9">
        <v>180</v>
      </c>
      <c r="AY9" s="3">
        <f>4*60+23</f>
        <v>263</v>
      </c>
      <c r="AZ9" s="3"/>
      <c r="BA9" s="3"/>
      <c r="BB9" s="3"/>
      <c r="BC9" s="3"/>
    </row>
    <row r="10" spans="2:59" x14ac:dyDescent="0.25">
      <c r="B10" t="s">
        <v>14</v>
      </c>
      <c r="C10">
        <f>4*60+31</f>
        <v>271</v>
      </c>
      <c r="D10">
        <f>3*60+56</f>
        <v>236</v>
      </c>
      <c r="E10">
        <v>189</v>
      </c>
      <c r="F10" s="4">
        <f>4*60+9</f>
        <v>249</v>
      </c>
      <c r="G10">
        <v>0</v>
      </c>
      <c r="H10" s="3">
        <f>3*60+25</f>
        <v>205</v>
      </c>
      <c r="I10" s="3">
        <f>6*60+42</f>
        <v>402</v>
      </c>
      <c r="J10">
        <v>123</v>
      </c>
      <c r="K10" s="3">
        <f>5*60+30</f>
        <v>330</v>
      </c>
      <c r="L10" s="4">
        <f>4*60+50</f>
        <v>290</v>
      </c>
      <c r="M10" s="3">
        <f>5*60+51</f>
        <v>351</v>
      </c>
      <c r="N10" s="3">
        <f>6*60+12</f>
        <v>372</v>
      </c>
      <c r="O10">
        <v>54</v>
      </c>
      <c r="P10" s="3">
        <f>5*60+38</f>
        <v>338</v>
      </c>
      <c r="Q10">
        <f>6*60+43</f>
        <v>403</v>
      </c>
      <c r="R10">
        <f>2*60+36</f>
        <v>156</v>
      </c>
      <c r="S10">
        <f>7*60+41</f>
        <v>461</v>
      </c>
      <c r="T10">
        <f>3*60+16</f>
        <v>196</v>
      </c>
      <c r="U10">
        <f>3*60+26</f>
        <v>206</v>
      </c>
      <c r="V10">
        <v>70</v>
      </c>
      <c r="W10">
        <f>3*60+57</f>
        <v>237</v>
      </c>
      <c r="X10">
        <f>398</f>
        <v>398</v>
      </c>
      <c r="Y10" s="3">
        <f>5*60+24</f>
        <v>324</v>
      </c>
      <c r="AA10" t="s">
        <v>12</v>
      </c>
      <c r="AJ10" t="s">
        <v>14</v>
      </c>
      <c r="AK10">
        <f>4*60+31</f>
        <v>271</v>
      </c>
      <c r="AL10">
        <f>3*60+56</f>
        <v>236</v>
      </c>
      <c r="AM10">
        <v>189</v>
      </c>
      <c r="AN10" s="4">
        <f>4*60+9</f>
        <v>249</v>
      </c>
      <c r="AO10">
        <v>0</v>
      </c>
      <c r="AP10" s="3">
        <f>3*60+25</f>
        <v>205</v>
      </c>
      <c r="AQ10" s="3">
        <f>6*60+42</f>
        <v>402</v>
      </c>
      <c r="AR10">
        <v>123</v>
      </c>
      <c r="AS10" s="3">
        <f>5*60+30</f>
        <v>330</v>
      </c>
      <c r="AT10" s="4">
        <f>4*60+50</f>
        <v>290</v>
      </c>
      <c r="AU10" s="3">
        <f>5*60+51</f>
        <v>351</v>
      </c>
      <c r="AV10" s="3">
        <f>5*60+24</f>
        <v>324</v>
      </c>
      <c r="AW10" s="3">
        <f>6*60+12</f>
        <v>372</v>
      </c>
      <c r="AX10">
        <v>54</v>
      </c>
      <c r="AY10" s="3">
        <f>5*60+38</f>
        <v>338</v>
      </c>
      <c r="AZ10" s="3"/>
      <c r="BA10" s="3"/>
      <c r="BB10" s="3"/>
      <c r="BC10" s="3"/>
    </row>
    <row r="11" spans="2:59" x14ac:dyDescent="0.25">
      <c r="B11" t="s">
        <v>12</v>
      </c>
      <c r="C11">
        <f>128</f>
        <v>128</v>
      </c>
      <c r="D11">
        <v>103</v>
      </c>
      <c r="E11">
        <v>51</v>
      </c>
      <c r="F11">
        <v>110</v>
      </c>
      <c r="G11" s="3">
        <f>3*60+25</f>
        <v>205</v>
      </c>
      <c r="H11">
        <v>0</v>
      </c>
      <c r="I11" s="3">
        <f>4*60+38</f>
        <v>278</v>
      </c>
      <c r="J11" s="4">
        <f>3*60+30</f>
        <v>210</v>
      </c>
      <c r="K11">
        <f>2*60+48</f>
        <v>168</v>
      </c>
      <c r="L11">
        <v>113</v>
      </c>
      <c r="M11" s="3">
        <f>3*60+17</f>
        <v>197</v>
      </c>
      <c r="N11" s="3">
        <f>3*60+40</f>
        <v>220</v>
      </c>
      <c r="O11" s="3">
        <f>3*60+24</f>
        <v>204</v>
      </c>
      <c r="P11" s="3">
        <f>3*60+33</f>
        <v>213</v>
      </c>
      <c r="Q11">
        <f>5*60+31</f>
        <v>331</v>
      </c>
      <c r="R11">
        <f>6*60+6</f>
        <v>366</v>
      </c>
      <c r="S11">
        <v>343</v>
      </c>
      <c r="T11">
        <f>6*60+57</f>
        <v>417</v>
      </c>
      <c r="U11">
        <v>193</v>
      </c>
      <c r="V11">
        <v>122</v>
      </c>
      <c r="W11">
        <f>3*60+48</f>
        <v>228</v>
      </c>
      <c r="X11">
        <f>3*60+50</f>
        <v>230</v>
      </c>
      <c r="Y11" s="3">
        <f>3*60+19</f>
        <v>199</v>
      </c>
      <c r="AA11" t="s">
        <v>17</v>
      </c>
      <c r="AJ11" t="s">
        <v>12</v>
      </c>
      <c r="AK11">
        <f>128</f>
        <v>128</v>
      </c>
      <c r="AL11">
        <v>103</v>
      </c>
      <c r="AM11">
        <v>51</v>
      </c>
      <c r="AN11">
        <v>110</v>
      </c>
      <c r="AO11" s="3">
        <f>3*60+25</f>
        <v>205</v>
      </c>
      <c r="AP11">
        <v>0</v>
      </c>
      <c r="AQ11" s="3">
        <f>4*60+38</f>
        <v>278</v>
      </c>
      <c r="AR11" s="4">
        <f>3*60+30</f>
        <v>210</v>
      </c>
      <c r="AS11">
        <f>2*60+48</f>
        <v>168</v>
      </c>
      <c r="AT11">
        <v>113</v>
      </c>
      <c r="AU11" s="3">
        <f>3*60+17</f>
        <v>197</v>
      </c>
      <c r="AV11" s="3">
        <f>3*60+19</f>
        <v>199</v>
      </c>
      <c r="AW11" s="3">
        <f>3*60+40</f>
        <v>220</v>
      </c>
      <c r="AX11" s="3">
        <f>3*60+24</f>
        <v>204</v>
      </c>
      <c r="AY11" s="3">
        <f>3*60+33</f>
        <v>213</v>
      </c>
      <c r="AZ11" s="3"/>
      <c r="BA11" s="3"/>
      <c r="BB11" s="3"/>
      <c r="BC11" s="3"/>
    </row>
    <row r="12" spans="2:59" x14ac:dyDescent="0.25">
      <c r="B12" t="s">
        <v>17</v>
      </c>
      <c r="C12">
        <v>87</v>
      </c>
      <c r="D12">
        <v>159</v>
      </c>
      <c r="E12">
        <v>246</v>
      </c>
      <c r="F12">
        <f>5*60+1</f>
        <v>301</v>
      </c>
      <c r="G12" s="3">
        <f>6*60+42</f>
        <v>402</v>
      </c>
      <c r="H12" s="3">
        <f>4*60+38</f>
        <v>278</v>
      </c>
      <c r="I12">
        <v>0</v>
      </c>
      <c r="J12" s="3">
        <f>5*60+20</f>
        <v>320</v>
      </c>
      <c r="K12" s="3">
        <f>4*60+17</f>
        <v>257</v>
      </c>
      <c r="L12" s="3">
        <f>4*60+2</f>
        <v>242</v>
      </c>
      <c r="M12">
        <v>115</v>
      </c>
      <c r="N12">
        <v>105</v>
      </c>
      <c r="O12" s="3">
        <f>7*60+6</f>
        <v>426</v>
      </c>
      <c r="P12">
        <v>171</v>
      </c>
      <c r="Q12">
        <f>4*60+20</f>
        <v>260</v>
      </c>
      <c r="R12">
        <f>9*60+43</f>
        <v>583</v>
      </c>
      <c r="S12">
        <f>3*60+51</f>
        <v>231</v>
      </c>
      <c r="T12">
        <f>10*60+36</f>
        <v>636</v>
      </c>
      <c r="U12">
        <f>4*60+48</f>
        <v>288</v>
      </c>
      <c r="V12">
        <f>5*60+31</f>
        <v>331</v>
      </c>
      <c r="W12">
        <f>5*60+30</f>
        <v>330</v>
      </c>
      <c r="X12">
        <f>3*60+8</f>
        <v>188</v>
      </c>
      <c r="Y12" s="3">
        <f>3*60+34</f>
        <v>214</v>
      </c>
      <c r="AA12" t="s">
        <v>9</v>
      </c>
      <c r="AJ12" t="s">
        <v>17</v>
      </c>
      <c r="AK12">
        <v>87</v>
      </c>
      <c r="AL12">
        <v>159</v>
      </c>
      <c r="AM12">
        <v>246</v>
      </c>
      <c r="AN12">
        <f>5*60+1</f>
        <v>301</v>
      </c>
      <c r="AO12" s="3">
        <f>6*60+42</f>
        <v>402</v>
      </c>
      <c r="AP12" s="3">
        <f>4*60+38</f>
        <v>278</v>
      </c>
      <c r="AQ12">
        <v>0</v>
      </c>
      <c r="AR12" s="3">
        <f>5*60+20</f>
        <v>320</v>
      </c>
      <c r="AS12" s="3">
        <f>4*60+17</f>
        <v>257</v>
      </c>
      <c r="AT12" s="3">
        <f>4*60+2</f>
        <v>242</v>
      </c>
      <c r="AU12">
        <v>115</v>
      </c>
      <c r="AV12" s="3">
        <f>3*60+34</f>
        <v>214</v>
      </c>
      <c r="AW12">
        <v>105</v>
      </c>
      <c r="AX12" s="3">
        <f>7*60+6</f>
        <v>426</v>
      </c>
      <c r="AY12">
        <v>171</v>
      </c>
    </row>
    <row r="13" spans="2:59" x14ac:dyDescent="0.25">
      <c r="B13" t="s">
        <v>9</v>
      </c>
      <c r="C13">
        <v>170</v>
      </c>
      <c r="D13">
        <v>197</v>
      </c>
      <c r="E13">
        <v>158</v>
      </c>
      <c r="F13">
        <v>89</v>
      </c>
      <c r="G13">
        <v>123</v>
      </c>
      <c r="H13" s="4">
        <f>3*60+30</f>
        <v>210</v>
      </c>
      <c r="I13" s="3">
        <f>5*60+20</f>
        <v>320</v>
      </c>
      <c r="J13">
        <v>0</v>
      </c>
      <c r="K13" s="3">
        <f>185</f>
        <v>185</v>
      </c>
      <c r="L13">
        <v>113</v>
      </c>
      <c r="M13">
        <f>4*60+55</f>
        <v>295</v>
      </c>
      <c r="N13" s="3">
        <f>4*60+30</f>
        <v>270</v>
      </c>
      <c r="O13">
        <v>89</v>
      </c>
      <c r="P13" s="3">
        <f>5*60+37</f>
        <v>337</v>
      </c>
      <c r="Q13">
        <f>4*60+15</f>
        <v>255</v>
      </c>
      <c r="R13">
        <f>4*60+22</f>
        <v>262</v>
      </c>
      <c r="S13">
        <f>6*60+58</f>
        <v>418</v>
      </c>
      <c r="T13">
        <f>5*60+2</f>
        <v>302</v>
      </c>
      <c r="U13">
        <v>139</v>
      </c>
      <c r="V13">
        <v>82</v>
      </c>
      <c r="W13">
        <v>79</v>
      </c>
      <c r="X13">
        <f>4*60+40</f>
        <v>280</v>
      </c>
      <c r="Y13" s="3">
        <f>2*60+48</f>
        <v>168</v>
      </c>
      <c r="AA13" t="s">
        <v>18</v>
      </c>
      <c r="AJ13" t="s">
        <v>9</v>
      </c>
      <c r="AK13">
        <v>170</v>
      </c>
      <c r="AL13">
        <v>197</v>
      </c>
      <c r="AM13">
        <v>158</v>
      </c>
      <c r="AN13">
        <v>89</v>
      </c>
      <c r="AO13">
        <v>123</v>
      </c>
      <c r="AP13" s="4">
        <f>3*60+30</f>
        <v>210</v>
      </c>
      <c r="AQ13" s="3">
        <f>5*60+20</f>
        <v>320</v>
      </c>
      <c r="AR13">
        <v>0</v>
      </c>
      <c r="AS13" s="3">
        <f>185</f>
        <v>185</v>
      </c>
      <c r="AT13">
        <v>113</v>
      </c>
      <c r="AU13">
        <f>4*60+55</f>
        <v>295</v>
      </c>
      <c r="AV13" s="3">
        <f>2*60+48</f>
        <v>168</v>
      </c>
      <c r="AW13" s="3">
        <f>4*60+30</f>
        <v>270</v>
      </c>
      <c r="AX13">
        <v>89</v>
      </c>
      <c r="AY13" s="3">
        <f>5*60+37</f>
        <v>337</v>
      </c>
      <c r="AZ13" s="3"/>
      <c r="BA13" s="3"/>
      <c r="BB13" s="3"/>
      <c r="BC13" s="3"/>
    </row>
    <row r="14" spans="2:59" x14ac:dyDescent="0.25">
      <c r="B14" t="s">
        <v>18</v>
      </c>
      <c r="C14">
        <v>104</v>
      </c>
      <c r="D14">
        <v>82</v>
      </c>
      <c r="E14">
        <v>107</v>
      </c>
      <c r="F14">
        <v>117</v>
      </c>
      <c r="G14" s="3">
        <f>5*60+30</f>
        <v>330</v>
      </c>
      <c r="H14">
        <f>2*60+48</f>
        <v>168</v>
      </c>
      <c r="I14" s="3">
        <f>4*60+17</f>
        <v>257</v>
      </c>
      <c r="J14" s="3">
        <f>185</f>
        <v>185</v>
      </c>
      <c r="K14">
        <v>0</v>
      </c>
      <c r="L14">
        <v>51</v>
      </c>
      <c r="M14" s="3">
        <f>3*60+2</f>
        <v>182</v>
      </c>
      <c r="N14" s="3">
        <f>3*60+36</f>
        <v>216</v>
      </c>
      <c r="O14" s="3">
        <f>4*60+50</f>
        <v>290</v>
      </c>
      <c r="P14">
        <f>3*60+30</f>
        <v>210</v>
      </c>
      <c r="Q14">
        <f>2*60+40</f>
        <v>160</v>
      </c>
      <c r="R14">
        <f>7*60+35</f>
        <v>455</v>
      </c>
      <c r="S14">
        <v>304</v>
      </c>
      <c r="T14">
        <f>9*60</f>
        <v>540</v>
      </c>
      <c r="U14">
        <v>178</v>
      </c>
      <c r="V14">
        <v>241</v>
      </c>
      <c r="W14">
        <v>185</v>
      </c>
      <c r="X14">
        <v>190</v>
      </c>
      <c r="Y14">
        <v>27</v>
      </c>
      <c r="AA14" t="s">
        <v>16</v>
      </c>
      <c r="AJ14" t="s">
        <v>18</v>
      </c>
      <c r="AK14">
        <v>104</v>
      </c>
      <c r="AL14">
        <v>82</v>
      </c>
      <c r="AM14">
        <v>107</v>
      </c>
      <c r="AN14">
        <v>117</v>
      </c>
      <c r="AO14" s="3">
        <f>5*60+30</f>
        <v>330</v>
      </c>
      <c r="AP14">
        <f>2*60+48</f>
        <v>168</v>
      </c>
      <c r="AQ14" s="3">
        <f>4*60+17</f>
        <v>257</v>
      </c>
      <c r="AR14" s="3">
        <f>185</f>
        <v>185</v>
      </c>
      <c r="AS14">
        <v>0</v>
      </c>
      <c r="AT14">
        <v>51</v>
      </c>
      <c r="AU14" s="3">
        <f>3*60+2</f>
        <v>182</v>
      </c>
      <c r="AV14">
        <v>27</v>
      </c>
      <c r="AW14" s="3">
        <f>3*60+36</f>
        <v>216</v>
      </c>
      <c r="AX14" s="3">
        <f>4*60+50</f>
        <v>290</v>
      </c>
      <c r="AY14">
        <f>3*60+30</f>
        <v>210</v>
      </c>
    </row>
    <row r="15" spans="2:59" x14ac:dyDescent="0.25">
      <c r="B15" t="s">
        <v>16</v>
      </c>
      <c r="C15">
        <v>125</v>
      </c>
      <c r="D15">
        <v>74</v>
      </c>
      <c r="E15">
        <v>50</v>
      </c>
      <c r="F15">
        <v>40</v>
      </c>
      <c r="G15" s="4">
        <f>4*60+50</f>
        <v>290</v>
      </c>
      <c r="H15">
        <v>113</v>
      </c>
      <c r="I15" s="3">
        <f>4*60+2</f>
        <v>242</v>
      </c>
      <c r="J15">
        <v>113</v>
      </c>
      <c r="K15">
        <v>51</v>
      </c>
      <c r="L15">
        <v>0</v>
      </c>
      <c r="M15">
        <v>168</v>
      </c>
      <c r="N15" s="3">
        <f>3*60+55</f>
        <v>235</v>
      </c>
      <c r="O15">
        <f>3*60+45</f>
        <v>225</v>
      </c>
      <c r="P15" s="3">
        <v>212</v>
      </c>
      <c r="Q15">
        <f>3*60+40</f>
        <v>220</v>
      </c>
      <c r="R15">
        <f>6*60+29</f>
        <v>389</v>
      </c>
      <c r="S15">
        <f>4*60+47</f>
        <v>287</v>
      </c>
      <c r="T15">
        <f>7*60+33</f>
        <v>453</v>
      </c>
      <c r="U15">
        <f>88</f>
        <v>88</v>
      </c>
      <c r="V15">
        <v>182</v>
      </c>
      <c r="W15">
        <v>129</v>
      </c>
      <c r="X15">
        <v>237</v>
      </c>
      <c r="Y15">
        <v>56</v>
      </c>
      <c r="AA15" t="s">
        <v>10</v>
      </c>
      <c r="AJ15" t="s">
        <v>16</v>
      </c>
      <c r="AK15">
        <v>125</v>
      </c>
      <c r="AL15">
        <v>74</v>
      </c>
      <c r="AM15">
        <v>50</v>
      </c>
      <c r="AN15">
        <v>40</v>
      </c>
      <c r="AO15" s="4">
        <f>4*60+50</f>
        <v>290</v>
      </c>
      <c r="AP15">
        <v>113</v>
      </c>
      <c r="AQ15" s="3">
        <f>4*60+2</f>
        <v>242</v>
      </c>
      <c r="AR15">
        <v>113</v>
      </c>
      <c r="AS15">
        <v>51</v>
      </c>
      <c r="AT15">
        <v>0</v>
      </c>
      <c r="AU15">
        <v>168</v>
      </c>
      <c r="AV15">
        <v>56</v>
      </c>
      <c r="AW15" s="3">
        <f>3*60+55</f>
        <v>235</v>
      </c>
      <c r="AX15">
        <f>3*60+45</f>
        <v>225</v>
      </c>
      <c r="AY15" s="3">
        <v>212</v>
      </c>
      <c r="AZ15" s="3"/>
      <c r="BA15" s="3"/>
      <c r="BB15" s="3"/>
      <c r="BC15" s="3"/>
    </row>
    <row r="16" spans="2:59" x14ac:dyDescent="0.25">
      <c r="B16" t="s">
        <v>10</v>
      </c>
      <c r="C16">
        <v>100</v>
      </c>
      <c r="D16">
        <v>86</v>
      </c>
      <c r="E16">
        <v>181</v>
      </c>
      <c r="F16">
        <v>209</v>
      </c>
      <c r="G16" s="3">
        <f>5*60+51</f>
        <v>351</v>
      </c>
      <c r="H16" s="3">
        <f>3*60+17</f>
        <v>197</v>
      </c>
      <c r="I16">
        <v>115</v>
      </c>
      <c r="J16">
        <f>4*60+55</f>
        <v>295</v>
      </c>
      <c r="K16" s="3">
        <f>3*60+2</f>
        <v>182</v>
      </c>
      <c r="L16">
        <v>168</v>
      </c>
      <c r="M16">
        <v>0</v>
      </c>
      <c r="N16" s="3">
        <f>2*60+28</f>
        <v>148</v>
      </c>
      <c r="O16">
        <f>6*60+38</f>
        <v>398</v>
      </c>
      <c r="P16">
        <v>50</v>
      </c>
      <c r="Q16">
        <f>4*60+50</f>
        <v>290</v>
      </c>
      <c r="R16">
        <f>8*60+36</f>
        <v>516</v>
      </c>
      <c r="S16">
        <v>122</v>
      </c>
      <c r="T16">
        <f>9*60+24</f>
        <v>564</v>
      </c>
      <c r="U16">
        <f>4*60+39</f>
        <v>279</v>
      </c>
      <c r="V16">
        <f>4*60+30</f>
        <v>270</v>
      </c>
      <c r="W16">
        <f>5*60+25</f>
        <v>325</v>
      </c>
      <c r="X16">
        <f>3*60+38</f>
        <v>218</v>
      </c>
      <c r="Y16" s="3">
        <f>2*60+44</f>
        <v>164</v>
      </c>
      <c r="AA16" t="s">
        <v>19</v>
      </c>
      <c r="AJ16" t="s">
        <v>10</v>
      </c>
      <c r="AK16">
        <v>100</v>
      </c>
      <c r="AL16">
        <v>86</v>
      </c>
      <c r="AM16">
        <v>181</v>
      </c>
      <c r="AN16">
        <v>209</v>
      </c>
      <c r="AO16" s="3">
        <f>5*60+51</f>
        <v>351</v>
      </c>
      <c r="AP16" s="3">
        <f>3*60+17</f>
        <v>197</v>
      </c>
      <c r="AQ16">
        <v>115</v>
      </c>
      <c r="AR16">
        <f>4*60+55</f>
        <v>295</v>
      </c>
      <c r="AS16" s="3">
        <f>3*60+2</f>
        <v>182</v>
      </c>
      <c r="AT16">
        <v>168</v>
      </c>
      <c r="AU16">
        <v>0</v>
      </c>
      <c r="AV16" s="3">
        <f>2*60+44</f>
        <v>164</v>
      </c>
      <c r="AW16" s="3">
        <f>2*60+28</f>
        <v>148</v>
      </c>
      <c r="AX16">
        <f>6*60+38</f>
        <v>398</v>
      </c>
      <c r="AY16">
        <v>50</v>
      </c>
    </row>
    <row r="17" spans="1:59" x14ac:dyDescent="0.25">
      <c r="B17" t="s">
        <v>15</v>
      </c>
      <c r="C17">
        <v>65</v>
      </c>
      <c r="D17" s="3">
        <v>178</v>
      </c>
      <c r="E17" s="3">
        <f>3*60+45</f>
        <v>225</v>
      </c>
      <c r="F17" s="3">
        <f>4*60</f>
        <v>240</v>
      </c>
      <c r="G17" s="3">
        <f>6*60+12</f>
        <v>372</v>
      </c>
      <c r="H17" s="3">
        <f>3*60+40</f>
        <v>220</v>
      </c>
      <c r="I17">
        <v>105</v>
      </c>
      <c r="J17" s="3">
        <f>4*60+30</f>
        <v>270</v>
      </c>
      <c r="K17" s="3">
        <f>3*60+36</f>
        <v>216</v>
      </c>
      <c r="L17" s="3">
        <f>3*60+55</f>
        <v>235</v>
      </c>
      <c r="M17" s="3">
        <f>2*60+28</f>
        <v>148</v>
      </c>
      <c r="N17">
        <v>0</v>
      </c>
      <c r="O17" s="3">
        <f>6*60+21</f>
        <v>381</v>
      </c>
      <c r="P17" s="3">
        <f>4*60+6</f>
        <v>246</v>
      </c>
      <c r="Q17">
        <f>3*60+48</f>
        <v>228</v>
      </c>
      <c r="R17">
        <f>9*60+3</f>
        <v>543</v>
      </c>
      <c r="S17">
        <f>4*60+60</f>
        <v>300</v>
      </c>
      <c r="T17">
        <f>9*60+58</f>
        <v>598</v>
      </c>
      <c r="U17">
        <f>4*60+45</f>
        <v>285</v>
      </c>
      <c r="V17">
        <f>5*60+4</f>
        <v>304</v>
      </c>
      <c r="W17">
        <f>4*60+53</f>
        <v>293</v>
      </c>
      <c r="X17">
        <f>2*60+29</f>
        <v>149</v>
      </c>
      <c r="Y17" s="3">
        <f>3*60+14</f>
        <v>194</v>
      </c>
      <c r="AA17" t="s">
        <v>13</v>
      </c>
      <c r="AJ17" t="s">
        <v>15</v>
      </c>
      <c r="AK17">
        <v>65</v>
      </c>
      <c r="AL17" s="3">
        <v>178</v>
      </c>
      <c r="AM17" s="3">
        <f>3*60+45</f>
        <v>225</v>
      </c>
      <c r="AN17" s="3">
        <f>4*60</f>
        <v>240</v>
      </c>
      <c r="AO17" s="3">
        <f>6*60+12</f>
        <v>372</v>
      </c>
      <c r="AP17" s="3">
        <f>3*60+40</f>
        <v>220</v>
      </c>
      <c r="AQ17">
        <v>105</v>
      </c>
      <c r="AR17" s="3">
        <f>4*60+30</f>
        <v>270</v>
      </c>
      <c r="AS17" s="3">
        <f>3*60+36</f>
        <v>216</v>
      </c>
      <c r="AT17" s="3">
        <f>3*60+55</f>
        <v>235</v>
      </c>
      <c r="AU17" s="3">
        <f>2*60+28</f>
        <v>148</v>
      </c>
      <c r="AV17" s="3">
        <f>3*60+14</f>
        <v>194</v>
      </c>
      <c r="AW17">
        <v>0</v>
      </c>
      <c r="AX17" s="3">
        <f>6*60+21</f>
        <v>381</v>
      </c>
      <c r="AY17" s="3">
        <f>4*60+6</f>
        <v>246</v>
      </c>
      <c r="AZ17" s="3"/>
      <c r="BA17" s="3"/>
      <c r="BB17" s="3"/>
      <c r="BC17" s="3"/>
    </row>
    <row r="18" spans="1:59" x14ac:dyDescent="0.25">
      <c r="B18" t="s">
        <v>13</v>
      </c>
      <c r="C18">
        <f>4*60+22</f>
        <v>262</v>
      </c>
      <c r="D18">
        <v>241</v>
      </c>
      <c r="E18">
        <f>3*60+19</f>
        <v>199</v>
      </c>
      <c r="F18">
        <v>180</v>
      </c>
      <c r="G18">
        <v>54</v>
      </c>
      <c r="H18" s="3">
        <f>3*60+24</f>
        <v>204</v>
      </c>
      <c r="I18" s="3">
        <f>7*60+6</f>
        <v>426</v>
      </c>
      <c r="J18">
        <v>89</v>
      </c>
      <c r="K18" s="3">
        <f>4*60+50</f>
        <v>290</v>
      </c>
      <c r="L18">
        <f>3*60+45</f>
        <v>225</v>
      </c>
      <c r="M18">
        <f>6*60+38</f>
        <v>398</v>
      </c>
      <c r="N18" s="3">
        <f>6*60+21</f>
        <v>381</v>
      </c>
      <c r="O18">
        <v>0</v>
      </c>
      <c r="P18" s="3">
        <f>5*60+45</f>
        <v>345</v>
      </c>
      <c r="Q18">
        <f>5*60+43</f>
        <v>343</v>
      </c>
      <c r="R18">
        <v>140</v>
      </c>
      <c r="S18">
        <f>8*60+38</f>
        <v>518</v>
      </c>
      <c r="T18">
        <v>202</v>
      </c>
      <c r="U18">
        <f>3*60+53</f>
        <v>233</v>
      </c>
      <c r="V18">
        <v>77</v>
      </c>
      <c r="W18">
        <v>169</v>
      </c>
      <c r="X18">
        <v>357</v>
      </c>
      <c r="Y18" s="3">
        <f>5*60+5</f>
        <v>305</v>
      </c>
      <c r="AA18" t="s">
        <v>11</v>
      </c>
      <c r="AJ18" t="s">
        <v>13</v>
      </c>
      <c r="AK18">
        <f>4*60+22</f>
        <v>262</v>
      </c>
      <c r="AL18">
        <v>241</v>
      </c>
      <c r="AM18">
        <f>3*60+19</f>
        <v>199</v>
      </c>
      <c r="AN18">
        <v>180</v>
      </c>
      <c r="AO18">
        <v>54</v>
      </c>
      <c r="AP18" s="3">
        <f>3*60+24</f>
        <v>204</v>
      </c>
      <c r="AQ18" s="3">
        <f>7*60+6</f>
        <v>426</v>
      </c>
      <c r="AR18">
        <v>89</v>
      </c>
      <c r="AS18" s="3">
        <f>4*60+50</f>
        <v>290</v>
      </c>
      <c r="AT18">
        <f>3*60+45</f>
        <v>225</v>
      </c>
      <c r="AU18">
        <f>6*60+38</f>
        <v>398</v>
      </c>
      <c r="AV18" s="3">
        <f>5*60+5</f>
        <v>305</v>
      </c>
      <c r="AW18" s="3">
        <f>6*60+21</f>
        <v>381</v>
      </c>
      <c r="AX18">
        <v>0</v>
      </c>
      <c r="AY18" s="3">
        <f>5*60+45</f>
        <v>345</v>
      </c>
      <c r="AZ18" s="3"/>
      <c r="BA18" s="3"/>
      <c r="BB18" s="3"/>
      <c r="BC18" s="3"/>
    </row>
    <row r="19" spans="1:59" x14ac:dyDescent="0.25">
      <c r="B19" t="s">
        <v>11</v>
      </c>
      <c r="C19">
        <v>121</v>
      </c>
      <c r="D19">
        <v>119</v>
      </c>
      <c r="E19">
        <f>3*60+21</f>
        <v>201</v>
      </c>
      <c r="F19" s="3">
        <f>4*60+23</f>
        <v>263</v>
      </c>
      <c r="G19" s="3">
        <f>5*60+38</f>
        <v>338</v>
      </c>
      <c r="H19" s="3">
        <f>3*60+33</f>
        <v>213</v>
      </c>
      <c r="I19">
        <v>171</v>
      </c>
      <c r="J19" s="3">
        <f>5*60+37</f>
        <v>337</v>
      </c>
      <c r="K19">
        <f>3*60+30</f>
        <v>210</v>
      </c>
      <c r="L19" s="3">
        <v>212</v>
      </c>
      <c r="M19">
        <v>50</v>
      </c>
      <c r="N19" s="3">
        <f>4*60+6</f>
        <v>246</v>
      </c>
      <c r="O19" s="3">
        <f>5*60+45</f>
        <v>345</v>
      </c>
      <c r="P19">
        <v>0</v>
      </c>
      <c r="Q19">
        <f>4*60+55</f>
        <v>295</v>
      </c>
      <c r="R19">
        <f>9*60+1</f>
        <v>541</v>
      </c>
      <c r="S19">
        <v>197</v>
      </c>
      <c r="T19">
        <f>9*60+33</f>
        <v>573</v>
      </c>
      <c r="U19">
        <f>5*60+14</f>
        <v>314</v>
      </c>
      <c r="V19">
        <f>4*60+39</f>
        <v>279</v>
      </c>
      <c r="W19">
        <v>360</v>
      </c>
      <c r="X19">
        <f>3*60+43</f>
        <v>223</v>
      </c>
      <c r="Y19" s="3">
        <f>3*60+11</f>
        <v>191</v>
      </c>
      <c r="AJ19" t="s">
        <v>11</v>
      </c>
      <c r="AK19">
        <v>121</v>
      </c>
      <c r="AL19">
        <v>119</v>
      </c>
      <c r="AM19">
        <f>3*60+21</f>
        <v>201</v>
      </c>
      <c r="AN19" s="3">
        <f>4*60+23</f>
        <v>263</v>
      </c>
      <c r="AO19" s="3">
        <f>5*60+38</f>
        <v>338</v>
      </c>
      <c r="AP19" s="3">
        <f>3*60+33</f>
        <v>213</v>
      </c>
      <c r="AQ19">
        <v>171</v>
      </c>
      <c r="AR19" s="3">
        <f>5*60+37</f>
        <v>337</v>
      </c>
      <c r="AS19">
        <f>3*60+30</f>
        <v>210</v>
      </c>
      <c r="AT19" s="3">
        <v>212</v>
      </c>
      <c r="AU19">
        <v>50</v>
      </c>
      <c r="AV19" s="3">
        <f>3*60+11</f>
        <v>191</v>
      </c>
      <c r="AW19" s="3">
        <f>4*60+6</f>
        <v>246</v>
      </c>
      <c r="AX19" s="3">
        <f>5*60+45</f>
        <v>345</v>
      </c>
      <c r="AY19">
        <v>0</v>
      </c>
    </row>
    <row r="20" spans="1:59" x14ac:dyDescent="0.25">
      <c r="B20" t="s">
        <v>23</v>
      </c>
      <c r="C20">
        <v>113</v>
      </c>
      <c r="D20">
        <f>3*60+53</f>
        <v>233</v>
      </c>
      <c r="E20">
        <f>4*60+34</f>
        <v>274</v>
      </c>
      <c r="F20">
        <v>208</v>
      </c>
      <c r="G20">
        <f>6*60+43</f>
        <v>403</v>
      </c>
      <c r="H20">
        <f>5*60+31</f>
        <v>331</v>
      </c>
      <c r="I20">
        <f>4*60+20</f>
        <v>260</v>
      </c>
      <c r="J20">
        <f>4*60+15</f>
        <v>255</v>
      </c>
      <c r="K20">
        <f>2*60+40</f>
        <v>160</v>
      </c>
      <c r="L20">
        <f>3*60+40</f>
        <v>220</v>
      </c>
      <c r="M20">
        <f>4*60+50</f>
        <v>290</v>
      </c>
      <c r="N20">
        <f>3*60+48</f>
        <v>228</v>
      </c>
      <c r="O20">
        <f>5*60+43</f>
        <v>343</v>
      </c>
      <c r="P20">
        <f>4*60+55</f>
        <v>295</v>
      </c>
      <c r="Q20">
        <v>0</v>
      </c>
      <c r="R20">
        <f>9*60+1</f>
        <v>541</v>
      </c>
      <c r="S20">
        <v>361</v>
      </c>
      <c r="T20">
        <f>8*60+57</f>
        <v>537</v>
      </c>
      <c r="U20">
        <v>239</v>
      </c>
      <c r="V20">
        <v>360</v>
      </c>
      <c r="W20">
        <v>240</v>
      </c>
      <c r="X20">
        <v>188</v>
      </c>
      <c r="Y20">
        <v>176</v>
      </c>
      <c r="AJ20" t="s">
        <v>23</v>
      </c>
      <c r="AK20">
        <v>113</v>
      </c>
      <c r="AL20">
        <f>3*60+53</f>
        <v>233</v>
      </c>
      <c r="AM20">
        <f>4*60+34</f>
        <v>274</v>
      </c>
      <c r="AN20">
        <v>208</v>
      </c>
      <c r="AO20">
        <f>6*60+43</f>
        <v>403</v>
      </c>
      <c r="AP20">
        <f>5*60+31</f>
        <v>331</v>
      </c>
      <c r="AQ20">
        <f>4*60+20</f>
        <v>260</v>
      </c>
      <c r="AR20">
        <f>4*60+15</f>
        <v>255</v>
      </c>
      <c r="AS20">
        <f>2*60+40</f>
        <v>160</v>
      </c>
      <c r="AT20">
        <f>3*60+40</f>
        <v>220</v>
      </c>
      <c r="AU20">
        <f>4*60+50</f>
        <v>290</v>
      </c>
      <c r="AV20">
        <v>176</v>
      </c>
      <c r="AW20">
        <f>3*60+48</f>
        <v>228</v>
      </c>
      <c r="AX20">
        <f>5*60+43</f>
        <v>343</v>
      </c>
      <c r="AY20">
        <f>4*60+55</f>
        <v>295</v>
      </c>
      <c r="AZ20">
        <v>0</v>
      </c>
    </row>
    <row r="21" spans="1:59" x14ac:dyDescent="0.25">
      <c r="B21" t="s">
        <v>24</v>
      </c>
      <c r="C21">
        <f>7*60+6</f>
        <v>426</v>
      </c>
      <c r="D21">
        <f>6*60+30</f>
        <v>390</v>
      </c>
      <c r="E21">
        <v>364</v>
      </c>
      <c r="F21">
        <f>5*60+53</f>
        <v>353</v>
      </c>
      <c r="G21">
        <f>2*60+36</f>
        <v>156</v>
      </c>
      <c r="H21">
        <f>6*60+6</f>
        <v>366</v>
      </c>
      <c r="I21">
        <f>9*60+43</f>
        <v>583</v>
      </c>
      <c r="J21">
        <f>4*60+22</f>
        <v>262</v>
      </c>
      <c r="K21">
        <f>7*60+35</f>
        <v>455</v>
      </c>
      <c r="L21">
        <f>6*60+29</f>
        <v>389</v>
      </c>
      <c r="M21">
        <f>8*60+36</f>
        <v>516</v>
      </c>
      <c r="N21">
        <f>9*60+3</f>
        <v>543</v>
      </c>
      <c r="O21">
        <v>140</v>
      </c>
      <c r="P21">
        <f>9*60+1</f>
        <v>541</v>
      </c>
      <c r="Q21">
        <f>9*60+1</f>
        <v>541</v>
      </c>
      <c r="R21">
        <v>0</v>
      </c>
      <c r="S21">
        <f>11*60+26</f>
        <v>686</v>
      </c>
      <c r="T21">
        <v>130</v>
      </c>
      <c r="U21">
        <v>402</v>
      </c>
      <c r="V21">
        <v>226</v>
      </c>
      <c r="W21">
        <v>327</v>
      </c>
      <c r="X21">
        <f>8*60+46</f>
        <v>526</v>
      </c>
      <c r="Y21">
        <f>7*60+40</f>
        <v>460</v>
      </c>
      <c r="AJ21" t="s">
        <v>24</v>
      </c>
      <c r="AK21">
        <f>7*60+6</f>
        <v>426</v>
      </c>
      <c r="AL21">
        <f>6*60+30</f>
        <v>390</v>
      </c>
      <c r="AM21">
        <v>364</v>
      </c>
      <c r="AN21">
        <f>5*60+53</f>
        <v>353</v>
      </c>
      <c r="AO21">
        <f>2*60+36</f>
        <v>156</v>
      </c>
      <c r="AP21">
        <f>6*60+6</f>
        <v>366</v>
      </c>
      <c r="AQ21">
        <f>9*60+43</f>
        <v>583</v>
      </c>
      <c r="AR21">
        <f>4*60+22</f>
        <v>262</v>
      </c>
      <c r="AS21">
        <f>7*60+35</f>
        <v>455</v>
      </c>
      <c r="AT21">
        <f>6*60+29</f>
        <v>389</v>
      </c>
      <c r="AU21">
        <f>8*60+36</f>
        <v>516</v>
      </c>
      <c r="AV21">
        <f>7*60+40</f>
        <v>460</v>
      </c>
      <c r="AW21">
        <f>9*60+3</f>
        <v>543</v>
      </c>
      <c r="AX21">
        <v>140</v>
      </c>
      <c r="AY21">
        <f>9*60+1</f>
        <v>541</v>
      </c>
      <c r="AZ21">
        <f>9*60+1</f>
        <v>541</v>
      </c>
      <c r="BA21">
        <v>0</v>
      </c>
    </row>
    <row r="22" spans="1:59" x14ac:dyDescent="0.25">
      <c r="B22" t="s">
        <v>25</v>
      </c>
      <c r="C22">
        <f>3*60+47</f>
        <v>227</v>
      </c>
      <c r="D22">
        <f>3*60+27</f>
        <v>207</v>
      </c>
      <c r="E22">
        <v>314</v>
      </c>
      <c r="F22">
        <v>330</v>
      </c>
      <c r="G22">
        <f>7*60+41</f>
        <v>461</v>
      </c>
      <c r="H22">
        <v>343</v>
      </c>
      <c r="I22">
        <f>3*60+51</f>
        <v>231</v>
      </c>
      <c r="J22">
        <f>6*60+58</f>
        <v>418</v>
      </c>
      <c r="K22">
        <v>304</v>
      </c>
      <c r="L22">
        <f>4*60+47</f>
        <v>287</v>
      </c>
      <c r="M22">
        <v>122</v>
      </c>
      <c r="N22">
        <f>4*60+60</f>
        <v>300</v>
      </c>
      <c r="O22">
        <f>8*60+38</f>
        <v>518</v>
      </c>
      <c r="P22">
        <v>197</v>
      </c>
      <c r="Q22">
        <v>361</v>
      </c>
      <c r="R22">
        <f>11*60+26</f>
        <v>686</v>
      </c>
      <c r="S22">
        <v>0</v>
      </c>
      <c r="T22">
        <f>11*60+41</f>
        <v>701</v>
      </c>
      <c r="U22">
        <f>6*60+44</f>
        <v>404</v>
      </c>
      <c r="V22">
        <f>6*60+35</f>
        <v>395</v>
      </c>
      <c r="W22">
        <f>7*60</f>
        <v>420</v>
      </c>
      <c r="X22">
        <f>5*60+28</f>
        <v>328</v>
      </c>
      <c r="Y22">
        <f>4*60+52</f>
        <v>292</v>
      </c>
      <c r="AJ22" t="s">
        <v>25</v>
      </c>
      <c r="AK22">
        <f>3*60+47</f>
        <v>227</v>
      </c>
      <c r="AL22">
        <f>3*60+27</f>
        <v>207</v>
      </c>
      <c r="AM22">
        <v>314</v>
      </c>
      <c r="AN22">
        <v>330</v>
      </c>
      <c r="AO22">
        <f>7*60+41</f>
        <v>461</v>
      </c>
      <c r="AP22">
        <v>343</v>
      </c>
      <c r="AQ22">
        <f>3*60+51</f>
        <v>231</v>
      </c>
      <c r="AR22">
        <f>6*60+58</f>
        <v>418</v>
      </c>
      <c r="AS22">
        <v>304</v>
      </c>
      <c r="AT22">
        <f>4*60+47</f>
        <v>287</v>
      </c>
      <c r="AU22">
        <v>122</v>
      </c>
      <c r="AV22">
        <f>4*60+52</f>
        <v>292</v>
      </c>
      <c r="AW22">
        <f>4*60+60</f>
        <v>300</v>
      </c>
      <c r="AX22">
        <f>8*60+38</f>
        <v>518</v>
      </c>
      <c r="AY22">
        <v>197</v>
      </c>
      <c r="AZ22">
        <v>361</v>
      </c>
      <c r="BA22">
        <f>11*60+26</f>
        <v>686</v>
      </c>
      <c r="BB22">
        <v>0</v>
      </c>
    </row>
    <row r="23" spans="1:59" x14ac:dyDescent="0.25">
      <c r="B23" t="s">
        <v>26</v>
      </c>
      <c r="C23">
        <f>8*60+6</f>
        <v>486</v>
      </c>
      <c r="D23">
        <f>7*60+34</f>
        <v>454</v>
      </c>
      <c r="E23">
        <f>7*60+38</f>
        <v>458</v>
      </c>
      <c r="F23">
        <f>7*60</f>
        <v>420</v>
      </c>
      <c r="G23">
        <f>3*60+16</f>
        <v>196</v>
      </c>
      <c r="H23">
        <f>6*60+57</f>
        <v>417</v>
      </c>
      <c r="I23">
        <f>10*60+36</f>
        <v>636</v>
      </c>
      <c r="J23">
        <f>5*60+2</f>
        <v>302</v>
      </c>
      <c r="K23">
        <f>9*60</f>
        <v>540</v>
      </c>
      <c r="L23">
        <f>7*60+33</f>
        <v>453</v>
      </c>
      <c r="M23">
        <f>9*60+24</f>
        <v>564</v>
      </c>
      <c r="N23">
        <f>9*60+58</f>
        <v>598</v>
      </c>
      <c r="O23">
        <v>202</v>
      </c>
      <c r="P23">
        <f>9*60+33</f>
        <v>573</v>
      </c>
      <c r="Q23">
        <f>8*60+57</f>
        <v>537</v>
      </c>
      <c r="R23">
        <v>130</v>
      </c>
      <c r="S23">
        <v>701</v>
      </c>
      <c r="T23">
        <v>0</v>
      </c>
      <c r="U23">
        <f>7*60+53</f>
        <v>473</v>
      </c>
      <c r="V23">
        <f>5*60+3</f>
        <v>303</v>
      </c>
      <c r="W23">
        <v>385</v>
      </c>
      <c r="X23">
        <f>9*60+45</f>
        <v>585</v>
      </c>
      <c r="Y23">
        <f>9*60+17</f>
        <v>557</v>
      </c>
      <c r="AJ23" t="s">
        <v>26</v>
      </c>
      <c r="AK23">
        <f>8*60+6</f>
        <v>486</v>
      </c>
      <c r="AL23">
        <f>7*60+34</f>
        <v>454</v>
      </c>
      <c r="AM23">
        <f>7*60+38</f>
        <v>458</v>
      </c>
      <c r="AN23">
        <f>7*60</f>
        <v>420</v>
      </c>
      <c r="AO23">
        <f>3*60+16</f>
        <v>196</v>
      </c>
      <c r="AP23">
        <f>6*60+57</f>
        <v>417</v>
      </c>
      <c r="AQ23">
        <f>10*60+36</f>
        <v>636</v>
      </c>
      <c r="AR23">
        <f>5*60+2</f>
        <v>302</v>
      </c>
      <c r="AS23">
        <f>9*60</f>
        <v>540</v>
      </c>
      <c r="AT23">
        <f>7*60+33</f>
        <v>453</v>
      </c>
      <c r="AU23">
        <f>9*60+24</f>
        <v>564</v>
      </c>
      <c r="AV23">
        <f>9*60+17</f>
        <v>557</v>
      </c>
      <c r="AW23">
        <f>9*60+58</f>
        <v>598</v>
      </c>
      <c r="AX23">
        <v>202</v>
      </c>
      <c r="AY23">
        <f>9*60+33</f>
        <v>573</v>
      </c>
      <c r="AZ23">
        <f>8*60+57</f>
        <v>537</v>
      </c>
      <c r="BA23">
        <v>130</v>
      </c>
      <c r="BB23">
        <f>11*60+41</f>
        <v>701</v>
      </c>
      <c r="BC23">
        <v>0</v>
      </c>
    </row>
    <row r="24" spans="1:59" x14ac:dyDescent="0.25">
      <c r="B24" t="s">
        <v>27</v>
      </c>
      <c r="C24">
        <f>2*60+40</f>
        <v>160</v>
      </c>
      <c r="D24">
        <f>3*60+6</f>
        <v>186</v>
      </c>
      <c r="E24">
        <v>113</v>
      </c>
      <c r="F24">
        <v>53</v>
      </c>
      <c r="G24">
        <f>3*60+26</f>
        <v>206</v>
      </c>
      <c r="H24">
        <v>193</v>
      </c>
      <c r="I24">
        <f>4*60+48</f>
        <v>288</v>
      </c>
      <c r="J24">
        <v>139</v>
      </c>
      <c r="K24">
        <v>178</v>
      </c>
      <c r="L24">
        <f>88</f>
        <v>88</v>
      </c>
      <c r="M24">
        <f>4*60+39</f>
        <v>279</v>
      </c>
      <c r="N24">
        <f>4*60+45</f>
        <v>285</v>
      </c>
      <c r="O24">
        <f>3*60+53</f>
        <v>233</v>
      </c>
      <c r="P24">
        <f>5*60+14</f>
        <v>314</v>
      </c>
      <c r="Q24">
        <v>239</v>
      </c>
      <c r="R24">
        <v>402</v>
      </c>
      <c r="S24">
        <f>6*60+44</f>
        <v>404</v>
      </c>
      <c r="T24">
        <f>7*60+53</f>
        <v>473</v>
      </c>
      <c r="U24">
        <v>0</v>
      </c>
      <c r="V24">
        <f>3*60+57</f>
        <v>237</v>
      </c>
      <c r="W24">
        <f>2*60+54</f>
        <v>174</v>
      </c>
      <c r="X24">
        <f>4*60+13</f>
        <v>253</v>
      </c>
      <c r="Y24">
        <f>2*60+57</f>
        <v>177</v>
      </c>
      <c r="AJ24" t="s">
        <v>27</v>
      </c>
      <c r="AK24">
        <f>2*60+40</f>
        <v>160</v>
      </c>
      <c r="AL24">
        <f>3*60+6</f>
        <v>186</v>
      </c>
      <c r="AM24">
        <v>113</v>
      </c>
      <c r="AN24">
        <v>53</v>
      </c>
      <c r="AO24">
        <f>3*60+26</f>
        <v>206</v>
      </c>
      <c r="AP24">
        <v>193</v>
      </c>
      <c r="AQ24">
        <f>4*60+48</f>
        <v>288</v>
      </c>
      <c r="AR24">
        <v>139</v>
      </c>
      <c r="AS24">
        <v>178</v>
      </c>
      <c r="AT24">
        <f>88</f>
        <v>88</v>
      </c>
      <c r="AU24">
        <f>4*60+39</f>
        <v>279</v>
      </c>
      <c r="AV24">
        <f>2*60+57</f>
        <v>177</v>
      </c>
      <c r="AW24">
        <f>4*60+45</f>
        <v>285</v>
      </c>
      <c r="AX24">
        <f>3*60+53</f>
        <v>233</v>
      </c>
      <c r="AY24">
        <f>5*60+14</f>
        <v>314</v>
      </c>
      <c r="AZ24">
        <v>239</v>
      </c>
      <c r="BA24">
        <v>402</v>
      </c>
      <c r="BB24">
        <f>6*60+44</f>
        <v>404</v>
      </c>
      <c r="BC24">
        <f>7*60+53</f>
        <v>473</v>
      </c>
      <c r="BD24">
        <v>0</v>
      </c>
    </row>
    <row r="25" spans="1:59" x14ac:dyDescent="0.25">
      <c r="B25" t="s">
        <v>28</v>
      </c>
      <c r="C25">
        <f>3*60+16</f>
        <v>196</v>
      </c>
      <c r="D25">
        <f>2*60+42</f>
        <v>162</v>
      </c>
      <c r="E25">
        <v>100</v>
      </c>
      <c r="F25">
        <f>2*60+45</f>
        <v>165</v>
      </c>
      <c r="G25">
        <v>70</v>
      </c>
      <c r="H25">
        <v>122</v>
      </c>
      <c r="I25">
        <f>5*60+31</f>
        <v>331</v>
      </c>
      <c r="J25">
        <v>82</v>
      </c>
      <c r="K25">
        <v>241</v>
      </c>
      <c r="L25">
        <v>182</v>
      </c>
      <c r="M25">
        <f>4*60+30</f>
        <v>270</v>
      </c>
      <c r="N25">
        <f>5*60+4</f>
        <v>304</v>
      </c>
      <c r="O25">
        <v>77</v>
      </c>
      <c r="P25">
        <f>4*60+39</f>
        <v>279</v>
      </c>
      <c r="Q25">
        <v>360</v>
      </c>
      <c r="R25">
        <v>226</v>
      </c>
      <c r="S25">
        <f>6*60+35</f>
        <v>395</v>
      </c>
      <c r="T25">
        <f>5*60+3</f>
        <v>303</v>
      </c>
      <c r="U25">
        <v>237</v>
      </c>
      <c r="V25">
        <v>0</v>
      </c>
      <c r="W25">
        <f>2*60+51</f>
        <v>171</v>
      </c>
      <c r="X25">
        <f>5*60+34</f>
        <v>334</v>
      </c>
      <c r="Y25">
        <f>3*60+52</f>
        <v>232</v>
      </c>
      <c r="AJ25" t="s">
        <v>28</v>
      </c>
      <c r="AK25">
        <f>3*60+16</f>
        <v>196</v>
      </c>
      <c r="AL25">
        <f>2*60+42</f>
        <v>162</v>
      </c>
      <c r="AM25">
        <v>100</v>
      </c>
      <c r="AN25">
        <f>2*60+45</f>
        <v>165</v>
      </c>
      <c r="AO25">
        <v>70</v>
      </c>
      <c r="AP25">
        <v>122</v>
      </c>
      <c r="AQ25">
        <f>5*60+31</f>
        <v>331</v>
      </c>
      <c r="AR25">
        <v>82</v>
      </c>
      <c r="AS25">
        <v>241</v>
      </c>
      <c r="AT25">
        <v>182</v>
      </c>
      <c r="AU25">
        <f>4*60+30</f>
        <v>270</v>
      </c>
      <c r="AV25">
        <f>3*60+52</f>
        <v>232</v>
      </c>
      <c r="AW25">
        <f>5*60+4</f>
        <v>304</v>
      </c>
      <c r="AX25">
        <v>77</v>
      </c>
      <c r="AY25">
        <f>4*60+39</f>
        <v>279</v>
      </c>
      <c r="AZ25">
        <v>360</v>
      </c>
      <c r="BA25">
        <v>226</v>
      </c>
      <c r="BB25">
        <f>6*60+35</f>
        <v>395</v>
      </c>
      <c r="BC25">
        <f>5*60+3</f>
        <v>303</v>
      </c>
      <c r="BD25">
        <f>3*60+57</f>
        <v>237</v>
      </c>
      <c r="BE25">
        <v>0</v>
      </c>
    </row>
    <row r="26" spans="1:59" x14ac:dyDescent="0.25">
      <c r="B26" t="s">
        <v>29</v>
      </c>
      <c r="C26">
        <f>3*60</f>
        <v>180</v>
      </c>
      <c r="D26">
        <f>3*60+27</f>
        <v>207</v>
      </c>
      <c r="E26">
        <v>153</v>
      </c>
      <c r="F26">
        <v>91</v>
      </c>
      <c r="G26">
        <f>3*60+57</f>
        <v>237</v>
      </c>
      <c r="H26">
        <f>3*60+48</f>
        <v>228</v>
      </c>
      <c r="I26">
        <f>5*60+30</f>
        <v>330</v>
      </c>
      <c r="J26">
        <v>79</v>
      </c>
      <c r="K26">
        <v>185</v>
      </c>
      <c r="L26">
        <v>129</v>
      </c>
      <c r="M26">
        <f>5*60+25</f>
        <v>325</v>
      </c>
      <c r="N26">
        <f>4*60+53</f>
        <v>293</v>
      </c>
      <c r="O26">
        <v>169</v>
      </c>
      <c r="P26">
        <v>360</v>
      </c>
      <c r="Q26">
        <v>240</v>
      </c>
      <c r="R26">
        <v>327</v>
      </c>
      <c r="S26">
        <f>7*60</f>
        <v>420</v>
      </c>
      <c r="T26">
        <v>385</v>
      </c>
      <c r="U26">
        <f>2*60+54</f>
        <v>174</v>
      </c>
      <c r="V26">
        <f>2*60+51</f>
        <v>171</v>
      </c>
      <c r="W26">
        <v>0</v>
      </c>
      <c r="X26">
        <v>288</v>
      </c>
      <c r="Y26">
        <f>3*60+33</f>
        <v>213</v>
      </c>
      <c r="AJ26" t="s">
        <v>29</v>
      </c>
      <c r="AK26">
        <f>3*60</f>
        <v>180</v>
      </c>
      <c r="AL26">
        <f>3*60+27</f>
        <v>207</v>
      </c>
      <c r="AM26">
        <v>153</v>
      </c>
      <c r="AN26">
        <v>91</v>
      </c>
      <c r="AO26">
        <f>3*60+57</f>
        <v>237</v>
      </c>
      <c r="AP26">
        <f>3*60+48</f>
        <v>228</v>
      </c>
      <c r="AQ26">
        <f>5*60+30</f>
        <v>330</v>
      </c>
      <c r="AR26">
        <v>79</v>
      </c>
      <c r="AS26">
        <v>185</v>
      </c>
      <c r="AT26">
        <v>129</v>
      </c>
      <c r="AU26">
        <f>5*60+25</f>
        <v>325</v>
      </c>
      <c r="AV26">
        <f>3*60+33</f>
        <v>213</v>
      </c>
      <c r="AW26">
        <f>4*60+53</f>
        <v>293</v>
      </c>
      <c r="AX26">
        <v>169</v>
      </c>
      <c r="AY26">
        <v>360</v>
      </c>
      <c r="AZ26">
        <v>240</v>
      </c>
      <c r="BA26">
        <v>327</v>
      </c>
      <c r="BB26">
        <f>7*60</f>
        <v>420</v>
      </c>
      <c r="BC26">
        <v>385</v>
      </c>
      <c r="BD26">
        <f>2*60+54</f>
        <v>174</v>
      </c>
      <c r="BE26">
        <f>2*60+51</f>
        <v>171</v>
      </c>
      <c r="BF26">
        <v>0</v>
      </c>
    </row>
    <row r="27" spans="1:59" x14ac:dyDescent="0.25">
      <c r="B27" t="s">
        <v>30</v>
      </c>
      <c r="C27">
        <v>56</v>
      </c>
      <c r="D27">
        <f>3*60+8</f>
        <v>188</v>
      </c>
      <c r="E27">
        <f>3*60+43</f>
        <v>223</v>
      </c>
      <c r="F27">
        <f>3*60+38</f>
        <v>218</v>
      </c>
      <c r="G27">
        <f>398</f>
        <v>398</v>
      </c>
      <c r="H27">
        <f>3*60+50</f>
        <v>230</v>
      </c>
      <c r="I27">
        <f>3*60+8</f>
        <v>188</v>
      </c>
      <c r="J27">
        <f>4*60+40</f>
        <v>280</v>
      </c>
      <c r="K27">
        <v>190</v>
      </c>
      <c r="L27">
        <v>237</v>
      </c>
      <c r="M27">
        <f>3*60+38</f>
        <v>218</v>
      </c>
      <c r="N27">
        <f>2*60+29</f>
        <v>149</v>
      </c>
      <c r="O27">
        <v>357</v>
      </c>
      <c r="P27">
        <f>3*60+43</f>
        <v>223</v>
      </c>
      <c r="Q27">
        <v>188</v>
      </c>
      <c r="R27">
        <f>8*60+46</f>
        <v>526</v>
      </c>
      <c r="S27">
        <f>5*60+28</f>
        <v>328</v>
      </c>
      <c r="T27">
        <f>9*60+45</f>
        <v>585</v>
      </c>
      <c r="U27">
        <f>4*60+13</f>
        <v>253</v>
      </c>
      <c r="V27">
        <f>5*60+34</f>
        <v>334</v>
      </c>
      <c r="W27">
        <f>4*60+48</f>
        <v>288</v>
      </c>
      <c r="X27">
        <v>0</v>
      </c>
      <c r="Y27">
        <f>2*60+41</f>
        <v>161</v>
      </c>
      <c r="AJ27" t="s">
        <v>30</v>
      </c>
      <c r="AK27">
        <v>56</v>
      </c>
      <c r="AL27">
        <f>3*60+8</f>
        <v>188</v>
      </c>
      <c r="AM27">
        <f>3*60+43</f>
        <v>223</v>
      </c>
      <c r="AN27">
        <f>3*60+38</f>
        <v>218</v>
      </c>
      <c r="AO27">
        <f>398</f>
        <v>398</v>
      </c>
      <c r="AP27">
        <f>3*60+50</f>
        <v>230</v>
      </c>
      <c r="AQ27">
        <f>3*60+8</f>
        <v>188</v>
      </c>
      <c r="AR27">
        <f>4*60+40</f>
        <v>280</v>
      </c>
      <c r="AS27">
        <v>190</v>
      </c>
      <c r="AT27">
        <v>237</v>
      </c>
      <c r="AU27">
        <f>3*60+38</f>
        <v>218</v>
      </c>
      <c r="AV27">
        <f>2*60+41</f>
        <v>161</v>
      </c>
      <c r="AW27">
        <f>2*60+29</f>
        <v>149</v>
      </c>
      <c r="AX27">
        <f>8*60+8</f>
        <v>488</v>
      </c>
      <c r="AY27">
        <f>3*60+43</f>
        <v>223</v>
      </c>
      <c r="AZ27">
        <v>188</v>
      </c>
      <c r="BA27">
        <f>8*60+46</f>
        <v>526</v>
      </c>
      <c r="BB27">
        <f>5*60+28</f>
        <v>328</v>
      </c>
      <c r="BC27">
        <f>9*60+45</f>
        <v>585</v>
      </c>
      <c r="BD27">
        <f>4*60+13</f>
        <v>253</v>
      </c>
      <c r="BE27">
        <f>5*60+34</f>
        <v>334</v>
      </c>
      <c r="BF27">
        <f>4*60+48</f>
        <v>288</v>
      </c>
      <c r="BG27">
        <v>0</v>
      </c>
    </row>
    <row r="28" spans="1:59" x14ac:dyDescent="0.25">
      <c r="B28" t="s">
        <v>19</v>
      </c>
      <c r="C28">
        <v>69</v>
      </c>
      <c r="D28">
        <v>55</v>
      </c>
      <c r="E28" s="3">
        <v>120</v>
      </c>
      <c r="F28">
        <v>143</v>
      </c>
      <c r="G28" s="3">
        <f>5*60+24</f>
        <v>324</v>
      </c>
      <c r="H28" s="3">
        <f>3*60+19</f>
        <v>199</v>
      </c>
      <c r="I28" s="3">
        <f>3*60+34</f>
        <v>214</v>
      </c>
      <c r="J28" s="3">
        <f>2*60+48</f>
        <v>168</v>
      </c>
      <c r="K28">
        <v>27</v>
      </c>
      <c r="L28">
        <v>56</v>
      </c>
      <c r="M28" s="3">
        <f>2*60+44</f>
        <v>164</v>
      </c>
      <c r="N28" s="3">
        <f>3*60+14</f>
        <v>194</v>
      </c>
      <c r="O28" s="3">
        <f>5*60+5</f>
        <v>305</v>
      </c>
      <c r="P28" s="3">
        <f>3*60+11</f>
        <v>191</v>
      </c>
      <c r="Q28">
        <v>176</v>
      </c>
      <c r="R28">
        <f>7*60+40</f>
        <v>460</v>
      </c>
      <c r="S28">
        <f>4*60+52</f>
        <v>292</v>
      </c>
      <c r="T28">
        <f>9*60+17</f>
        <v>557</v>
      </c>
      <c r="U28">
        <f>2*60+57</f>
        <v>177</v>
      </c>
      <c r="V28">
        <f>3*60+52</f>
        <v>232</v>
      </c>
      <c r="W28">
        <f>3*60+33</f>
        <v>213</v>
      </c>
      <c r="X28">
        <f>2*60+41</f>
        <v>161</v>
      </c>
      <c r="Y28">
        <v>0</v>
      </c>
      <c r="AA28" t="s">
        <v>15</v>
      </c>
      <c r="AJ28" t="s">
        <v>19</v>
      </c>
      <c r="AK28">
        <v>69</v>
      </c>
      <c r="AL28">
        <v>55</v>
      </c>
      <c r="AM28" s="3">
        <v>120</v>
      </c>
      <c r="AN28">
        <v>143</v>
      </c>
      <c r="AO28" s="3">
        <f>5*60+24</f>
        <v>324</v>
      </c>
      <c r="AP28" s="3">
        <f>3*60+19</f>
        <v>199</v>
      </c>
      <c r="AQ28" s="3">
        <f>3*60+34</f>
        <v>214</v>
      </c>
      <c r="AR28" s="3">
        <f>2*60+48</f>
        <v>168</v>
      </c>
      <c r="AS28">
        <v>27</v>
      </c>
      <c r="AT28">
        <v>56</v>
      </c>
      <c r="AU28" s="3">
        <f>2*60+44</f>
        <v>164</v>
      </c>
      <c r="AV28">
        <v>0</v>
      </c>
      <c r="AW28" s="3">
        <f>3*60+14</f>
        <v>194</v>
      </c>
      <c r="AX28" s="3">
        <f>5*60+5</f>
        <v>305</v>
      </c>
      <c r="AY28" s="3">
        <f>3*60+11</f>
        <v>191</v>
      </c>
      <c r="AZ28" s="3"/>
      <c r="BA28" s="3"/>
      <c r="BB28" s="3"/>
      <c r="BC28" s="3"/>
    </row>
    <row r="31" spans="1:59" x14ac:dyDescent="0.25">
      <c r="B31" s="1" t="s">
        <v>5</v>
      </c>
    </row>
    <row r="32" spans="1:59" x14ac:dyDescent="0.25">
      <c r="A32" t="s">
        <v>22</v>
      </c>
      <c r="B32" s="1" t="str">
        <f>asjsarray(B35:B38)</f>
        <v>var cities = ["London","Birmingham","Manchester"];</v>
      </c>
      <c r="C32" s="1" t="str">
        <f t="shared" ref="C32:D32" si="3">asjsarray(C35:C38)</f>
        <v>var lats = [51.507, 52.483, 53.467];</v>
      </c>
      <c r="D32" s="1" t="str">
        <f t="shared" si="3"/>
        <v>var longs = [-0.1275, -1.893611, -2.233333];</v>
      </c>
    </row>
    <row r="33" spans="1:58" x14ac:dyDescent="0.25">
      <c r="A33" t="s">
        <v>21</v>
      </c>
      <c r="B33" s="2" t="str">
        <f>asjsarray(B35:B49)</f>
        <v>var cities = ["London","Birmingham","Manchester","Leeds","Glasgow","Liverpool","Southampton","Newcastle","Nottingham","Sheffield","Bristol","Brighton","Edinburgh","Cardiff"];</v>
      </c>
      <c r="C33" s="2" t="str">
        <f>asjsarray(C35:C49)</f>
        <v>var lats = [51.507, 52.483, 53.467, 53.8, 55.858, 53.4, 50.75, 54.966667, 52.95, 53.383333, 51.45, 50.842941, 55.95, 51.483333];</v>
      </c>
      <c r="D33" s="2" t="str">
        <f>asjsarray(D35:D49)</f>
        <v>var longs = [-0.1275, -1.893611, -2.233333, -1.549167, -4.259, -3, -1.40416, -1.616667, -1.133333, -1.466667, -2.583333, 0.131312, -3.183333, -3.18333];</v>
      </c>
      <c r="AJ33">
        <v>0</v>
      </c>
      <c r="AK33">
        <v>82</v>
      </c>
      <c r="AL33">
        <v>125</v>
      </c>
      <c r="AM33">
        <v>132</v>
      </c>
      <c r="AN33">
        <f>4*60+31</f>
        <v>271</v>
      </c>
      <c r="AO33">
        <f>128</f>
        <v>128</v>
      </c>
      <c r="AP33">
        <v>87</v>
      </c>
      <c r="AQ33">
        <v>170</v>
      </c>
      <c r="AR33">
        <v>104</v>
      </c>
      <c r="AS33">
        <v>125</v>
      </c>
      <c r="AT33">
        <v>100</v>
      </c>
      <c r="AU33">
        <v>69</v>
      </c>
      <c r="AV33">
        <v>65</v>
      </c>
      <c r="AW33">
        <f>4*60+22</f>
        <v>262</v>
      </c>
      <c r="AX33">
        <v>121</v>
      </c>
      <c r="AY33">
        <v>113</v>
      </c>
      <c r="AZ33">
        <f>7*60+6</f>
        <v>426</v>
      </c>
      <c r="BA33">
        <f>3*60+47</f>
        <v>227</v>
      </c>
      <c r="BB33">
        <f>8*60+6</f>
        <v>486</v>
      </c>
      <c r="BC33">
        <f>2*60+40</f>
        <v>160</v>
      </c>
      <c r="BD33">
        <f>3*60+16</f>
        <v>196</v>
      </c>
      <c r="BE33">
        <f>3*60</f>
        <v>180</v>
      </c>
      <c r="BF33">
        <v>56</v>
      </c>
    </row>
    <row r="34" spans="1:58" x14ac:dyDescent="0.25">
      <c r="A34" t="s">
        <v>31</v>
      </c>
      <c r="B34" s="2" t="str">
        <f>asjsarray(B35:B57)</f>
        <v>var cities = ["London","Birmingham","Manchester","Leeds","Glasgow","Liverpool","Southampton","Newcastle","Nottingham","Sheffield","Bristol","Brighton","Edinburgh","Cardiff","Norwich","Aberdeen","Plymouth","Inverness","Hull","Carlisle","Middlesbrough","Canterbury"];</v>
      </c>
      <c r="C34" s="2" t="str">
        <f>asjsarray(C35:C57)</f>
        <v>var lats = [51.507, 52.483, 53.467, 53.8, 55.858, 53.4, 50.75, 54.966667, 52.95, 53.383333, 51.45, 50.842941, 55.95, 51.483333, 52.6166666666667, 57.1526, 50.3666666666667, 57.4717, 53.7333333333333, 54.891, 54.5666666666667, 51.275];</v>
      </c>
      <c r="D34" s="2" t="str">
        <f>asjsarray(D35:D57)</f>
        <v>var longs = [-0.1275, -1.893611, -2.233333, -1.549167, -4.259, -3, -1.40416, -1.616667, -1.133333, -1.466667, -2.583333, 0.131312, -3.183333, -3.18333, 1.28333333333333, -2.11, -3.86666666666667, -4.2254, -0.316666666666667, -2.9439, -0.766666666666667, 1.087];</v>
      </c>
    </row>
    <row r="35" spans="1:58" x14ac:dyDescent="0.25">
      <c r="B35" t="s">
        <v>8</v>
      </c>
      <c r="C35" t="s">
        <v>6</v>
      </c>
      <c r="D35" t="s">
        <v>7</v>
      </c>
      <c r="AJ35">
        <v>82</v>
      </c>
      <c r="AK35">
        <v>0</v>
      </c>
      <c r="AL35">
        <v>85</v>
      </c>
      <c r="AM35">
        <v>118</v>
      </c>
      <c r="AN35">
        <f>3*60+56</f>
        <v>236</v>
      </c>
      <c r="AO35">
        <v>103</v>
      </c>
      <c r="AP35">
        <v>159</v>
      </c>
      <c r="AQ35">
        <v>197</v>
      </c>
      <c r="AR35">
        <v>82</v>
      </c>
      <c r="AS35">
        <v>74</v>
      </c>
      <c r="AT35">
        <v>86</v>
      </c>
      <c r="AU35">
        <v>55</v>
      </c>
      <c r="AV35" s="3">
        <v>178</v>
      </c>
      <c r="AW35">
        <v>241</v>
      </c>
      <c r="AX35">
        <v>119</v>
      </c>
      <c r="AY35">
        <f>3*60+53</f>
        <v>233</v>
      </c>
      <c r="AZ35">
        <f>6*60+30</f>
        <v>390</v>
      </c>
      <c r="BA35">
        <f>3*60+27</f>
        <v>207</v>
      </c>
      <c r="BB35">
        <f>7*60+34</f>
        <v>454</v>
      </c>
      <c r="BC35">
        <f>3*60+6</f>
        <v>186</v>
      </c>
      <c r="BD35">
        <f>2*60+42</f>
        <v>162</v>
      </c>
      <c r="BE35">
        <f>3*60+27</f>
        <v>207</v>
      </c>
      <c r="BF35">
        <f>3*60+8</f>
        <v>188</v>
      </c>
    </row>
    <row r="36" spans="1:58" x14ac:dyDescent="0.25">
      <c r="A36">
        <v>1</v>
      </c>
      <c r="B36" t="s">
        <v>0</v>
      </c>
      <c r="C36">
        <v>51.506999999999998</v>
      </c>
      <c r="D36">
        <v>-0.1275</v>
      </c>
      <c r="AJ36">
        <v>125</v>
      </c>
      <c r="AK36">
        <v>85</v>
      </c>
      <c r="AL36">
        <v>0</v>
      </c>
      <c r="AM36">
        <v>52</v>
      </c>
      <c r="AN36">
        <v>189</v>
      </c>
      <c r="AO36">
        <v>51</v>
      </c>
      <c r="AP36">
        <v>246</v>
      </c>
      <c r="AQ36">
        <v>158</v>
      </c>
      <c r="AR36">
        <v>107</v>
      </c>
      <c r="AS36">
        <v>50</v>
      </c>
      <c r="AT36">
        <v>181</v>
      </c>
      <c r="AU36" s="3">
        <v>120</v>
      </c>
      <c r="AV36" s="3">
        <f>3*60+45</f>
        <v>225</v>
      </c>
      <c r="AW36">
        <f>3*60+19</f>
        <v>199</v>
      </c>
      <c r="AX36">
        <f>3*60+21</f>
        <v>201</v>
      </c>
      <c r="AY36">
        <f>4*60+34</f>
        <v>274</v>
      </c>
      <c r="AZ36">
        <v>364</v>
      </c>
      <c r="BA36">
        <v>314</v>
      </c>
      <c r="BB36">
        <f>7*60+38</f>
        <v>458</v>
      </c>
      <c r="BC36">
        <v>113</v>
      </c>
      <c r="BD36">
        <v>100</v>
      </c>
      <c r="BE36">
        <v>153</v>
      </c>
      <c r="BF36">
        <f>3*60+43</f>
        <v>223</v>
      </c>
    </row>
    <row r="37" spans="1:58" x14ac:dyDescent="0.25">
      <c r="A37">
        <v>2</v>
      </c>
      <c r="B37" t="s">
        <v>1</v>
      </c>
      <c r="C37">
        <v>52.482999999999997</v>
      </c>
      <c r="D37">
        <v>-1.8936109999999999</v>
      </c>
      <c r="AJ37">
        <v>132</v>
      </c>
      <c r="AK37">
        <v>118</v>
      </c>
      <c r="AL37">
        <v>52</v>
      </c>
      <c r="AM37">
        <v>0</v>
      </c>
      <c r="AN37" s="4">
        <f>4*60+9</f>
        <v>249</v>
      </c>
      <c r="AO37">
        <v>110</v>
      </c>
      <c r="AP37">
        <f>5*60+1</f>
        <v>301</v>
      </c>
      <c r="AQ37">
        <v>89</v>
      </c>
      <c r="AR37">
        <v>117</v>
      </c>
      <c r="AS37">
        <v>40</v>
      </c>
      <c r="AT37">
        <v>209</v>
      </c>
      <c r="AU37">
        <v>143</v>
      </c>
      <c r="AV37" s="3">
        <f>4*60</f>
        <v>240</v>
      </c>
      <c r="AW37">
        <v>180</v>
      </c>
      <c r="AX37" s="3">
        <f>4*60+23</f>
        <v>263</v>
      </c>
      <c r="AY37">
        <v>208</v>
      </c>
      <c r="AZ37">
        <f>5*60+53</f>
        <v>353</v>
      </c>
      <c r="BA37">
        <v>330</v>
      </c>
      <c r="BB37">
        <f>7*60</f>
        <v>420</v>
      </c>
      <c r="BC37">
        <v>53</v>
      </c>
      <c r="BD37">
        <f>2*60+45</f>
        <v>165</v>
      </c>
      <c r="BE37">
        <v>91</v>
      </c>
      <c r="BF37">
        <f>3*60+38</f>
        <v>218</v>
      </c>
    </row>
    <row r="38" spans="1:58" x14ac:dyDescent="0.25">
      <c r="A38">
        <v>3</v>
      </c>
      <c r="B38" t="s">
        <v>2</v>
      </c>
      <c r="C38">
        <v>53.466999999999999</v>
      </c>
      <c r="D38">
        <v>-2.233333</v>
      </c>
      <c r="AJ38">
        <f>4*60+31</f>
        <v>271</v>
      </c>
      <c r="AK38">
        <f>3*60+56</f>
        <v>236</v>
      </c>
      <c r="AL38">
        <v>189</v>
      </c>
      <c r="AM38" s="4">
        <f>4*60+9</f>
        <v>249</v>
      </c>
      <c r="AN38">
        <v>0</v>
      </c>
      <c r="AO38" s="3">
        <f>3*60+25</f>
        <v>205</v>
      </c>
      <c r="AP38" s="3">
        <f>6*60+42</f>
        <v>402</v>
      </c>
      <c r="AQ38">
        <v>123</v>
      </c>
      <c r="AR38" s="3">
        <f>5*60+30</f>
        <v>330</v>
      </c>
      <c r="AS38" s="4">
        <f>4*60+50</f>
        <v>290</v>
      </c>
      <c r="AT38" s="3">
        <f>5*60+51</f>
        <v>351</v>
      </c>
      <c r="AU38" s="3">
        <f>5*60+24</f>
        <v>324</v>
      </c>
      <c r="AV38" s="3">
        <f>6*60+12</f>
        <v>372</v>
      </c>
      <c r="AW38">
        <v>54</v>
      </c>
      <c r="AX38" s="3">
        <f>5*60+38</f>
        <v>338</v>
      </c>
      <c r="AY38">
        <f>6*60+43</f>
        <v>403</v>
      </c>
      <c r="AZ38">
        <f>2*60+36</f>
        <v>156</v>
      </c>
      <c r="BA38">
        <f>7*60+41</f>
        <v>461</v>
      </c>
      <c r="BB38">
        <f>3*60+16</f>
        <v>196</v>
      </c>
      <c r="BC38">
        <f>3*60+26</f>
        <v>206</v>
      </c>
      <c r="BD38">
        <v>70</v>
      </c>
      <c r="BE38">
        <f>3*60+57</f>
        <v>237</v>
      </c>
      <c r="BF38">
        <f>398</f>
        <v>398</v>
      </c>
    </row>
    <row r="39" spans="1:58" x14ac:dyDescent="0.25">
      <c r="A39">
        <v>4</v>
      </c>
      <c r="B39" t="s">
        <v>3</v>
      </c>
      <c r="C39">
        <v>53.8</v>
      </c>
      <c r="D39">
        <v>-1.549167</v>
      </c>
      <c r="AJ39">
        <f>128</f>
        <v>128</v>
      </c>
      <c r="AK39">
        <v>103</v>
      </c>
      <c r="AL39">
        <v>51</v>
      </c>
      <c r="AM39">
        <v>110</v>
      </c>
      <c r="AN39" s="3">
        <f>3*60+25</f>
        <v>205</v>
      </c>
      <c r="AO39">
        <v>0</v>
      </c>
      <c r="AP39" s="3">
        <f>4*60+38</f>
        <v>278</v>
      </c>
      <c r="AQ39" s="4">
        <f>3*60+30</f>
        <v>210</v>
      </c>
      <c r="AR39">
        <f>2*60+48</f>
        <v>168</v>
      </c>
      <c r="AS39">
        <v>113</v>
      </c>
      <c r="AT39" s="3">
        <f>3*60+17</f>
        <v>197</v>
      </c>
      <c r="AU39" s="3">
        <f>3*60+19</f>
        <v>199</v>
      </c>
      <c r="AV39" s="3">
        <f>3*60+40</f>
        <v>220</v>
      </c>
      <c r="AW39" s="3">
        <f>3*60+24</f>
        <v>204</v>
      </c>
      <c r="AX39" s="3">
        <f>3*60+33</f>
        <v>213</v>
      </c>
      <c r="AY39">
        <f>5*60+31</f>
        <v>331</v>
      </c>
      <c r="AZ39">
        <f>6*60+6</f>
        <v>366</v>
      </c>
      <c r="BA39">
        <v>343</v>
      </c>
      <c r="BB39">
        <f>6*60+57</f>
        <v>417</v>
      </c>
      <c r="BC39">
        <v>193</v>
      </c>
      <c r="BD39">
        <v>122</v>
      </c>
      <c r="BE39">
        <f>3*60+48</f>
        <v>228</v>
      </c>
      <c r="BF39">
        <f>3*60+50</f>
        <v>230</v>
      </c>
    </row>
    <row r="40" spans="1:58" x14ac:dyDescent="0.25">
      <c r="A40">
        <v>5</v>
      </c>
      <c r="B40" t="s">
        <v>14</v>
      </c>
      <c r="C40">
        <v>55.857999999999997</v>
      </c>
      <c r="D40">
        <v>-4.2590000000000003</v>
      </c>
      <c r="AJ40">
        <v>87</v>
      </c>
      <c r="AK40">
        <v>159</v>
      </c>
      <c r="AL40">
        <v>246</v>
      </c>
      <c r="AM40">
        <f>5*60+1</f>
        <v>301</v>
      </c>
      <c r="AN40" s="3">
        <f>6*60+42</f>
        <v>402</v>
      </c>
      <c r="AO40" s="3">
        <f>4*60+38</f>
        <v>278</v>
      </c>
      <c r="AP40">
        <v>0</v>
      </c>
      <c r="AQ40" s="3">
        <f>5*60+20</f>
        <v>320</v>
      </c>
      <c r="AR40" s="3">
        <f>4*60+17</f>
        <v>257</v>
      </c>
      <c r="AS40" s="3">
        <f>4*60+2</f>
        <v>242</v>
      </c>
      <c r="AT40">
        <v>115</v>
      </c>
      <c r="AU40" s="3">
        <f>3*60+34</f>
        <v>214</v>
      </c>
      <c r="AV40">
        <v>105</v>
      </c>
      <c r="AW40" s="3">
        <f>7*60+6</f>
        <v>426</v>
      </c>
      <c r="AX40">
        <v>171</v>
      </c>
      <c r="AY40">
        <f>4*60+20</f>
        <v>260</v>
      </c>
      <c r="AZ40">
        <f>9*60+43</f>
        <v>583</v>
      </c>
      <c r="BA40">
        <f>3*60+51</f>
        <v>231</v>
      </c>
      <c r="BB40">
        <f>10*60+36</f>
        <v>636</v>
      </c>
      <c r="BC40">
        <f>4*60+48</f>
        <v>288</v>
      </c>
      <c r="BD40">
        <f>5*60+31</f>
        <v>331</v>
      </c>
      <c r="BE40">
        <f>5*60+30</f>
        <v>330</v>
      </c>
      <c r="BF40">
        <f>3*60+8</f>
        <v>188</v>
      </c>
    </row>
    <row r="41" spans="1:58" x14ac:dyDescent="0.25">
      <c r="A41">
        <v>6</v>
      </c>
      <c r="B41" t="s">
        <v>12</v>
      </c>
      <c r="C41">
        <v>53.4</v>
      </c>
      <c r="D41">
        <v>-3</v>
      </c>
      <c r="AJ41">
        <v>170</v>
      </c>
      <c r="AK41">
        <v>197</v>
      </c>
      <c r="AL41">
        <v>158</v>
      </c>
      <c r="AM41">
        <v>89</v>
      </c>
      <c r="AN41">
        <v>123</v>
      </c>
      <c r="AO41" s="4">
        <f>3*60+30</f>
        <v>210</v>
      </c>
      <c r="AP41" s="3">
        <f>5*60+20</f>
        <v>320</v>
      </c>
      <c r="AQ41">
        <v>0</v>
      </c>
      <c r="AR41" s="3">
        <f>185</f>
        <v>185</v>
      </c>
      <c r="AS41">
        <v>113</v>
      </c>
      <c r="AT41">
        <f>4*60+55</f>
        <v>295</v>
      </c>
      <c r="AU41" s="3">
        <f>2*60+48</f>
        <v>168</v>
      </c>
      <c r="AV41" s="3">
        <f>4*60+30</f>
        <v>270</v>
      </c>
      <c r="AW41">
        <v>89</v>
      </c>
      <c r="AX41" s="3">
        <f>5*60+37</f>
        <v>337</v>
      </c>
      <c r="AY41">
        <f>4*60+15</f>
        <v>255</v>
      </c>
      <c r="AZ41">
        <f>4*60+22</f>
        <v>262</v>
      </c>
      <c r="BA41">
        <f>6*60+58</f>
        <v>418</v>
      </c>
      <c r="BB41">
        <f>5*60+2</f>
        <v>302</v>
      </c>
      <c r="BC41">
        <v>139</v>
      </c>
      <c r="BD41">
        <v>82</v>
      </c>
      <c r="BE41">
        <v>79</v>
      </c>
      <c r="BF41">
        <f>4*60+40</f>
        <v>280</v>
      </c>
    </row>
    <row r="42" spans="1:58" x14ac:dyDescent="0.25">
      <c r="A42">
        <v>7</v>
      </c>
      <c r="B42" t="s">
        <v>17</v>
      </c>
      <c r="C42">
        <v>50.75</v>
      </c>
      <c r="D42">
        <v>-1.4041600000000001</v>
      </c>
      <c r="AJ42">
        <v>104</v>
      </c>
      <c r="AK42">
        <v>82</v>
      </c>
      <c r="AL42">
        <v>107</v>
      </c>
      <c r="AM42">
        <v>117</v>
      </c>
      <c r="AN42" s="3">
        <f>5*60+30</f>
        <v>330</v>
      </c>
      <c r="AO42">
        <f>2*60+48</f>
        <v>168</v>
      </c>
      <c r="AP42" s="3">
        <f>4*60+17</f>
        <v>257</v>
      </c>
      <c r="AQ42" s="3">
        <f>185</f>
        <v>185</v>
      </c>
      <c r="AR42">
        <v>0</v>
      </c>
      <c r="AS42">
        <v>51</v>
      </c>
      <c r="AT42" s="3">
        <f>3*60+2</f>
        <v>182</v>
      </c>
      <c r="AU42">
        <v>27</v>
      </c>
      <c r="AV42" s="3">
        <f>3*60+36</f>
        <v>216</v>
      </c>
      <c r="AW42" s="3">
        <f>4*60+50</f>
        <v>290</v>
      </c>
      <c r="AX42">
        <f>3*60+30</f>
        <v>210</v>
      </c>
      <c r="AY42">
        <f>2*60+40</f>
        <v>160</v>
      </c>
      <c r="AZ42">
        <f>7*60+35</f>
        <v>455</v>
      </c>
      <c r="BA42">
        <v>304</v>
      </c>
      <c r="BB42">
        <f>9*60</f>
        <v>540</v>
      </c>
      <c r="BC42">
        <v>178</v>
      </c>
      <c r="BD42">
        <v>241</v>
      </c>
      <c r="BE42">
        <v>185</v>
      </c>
      <c r="BF42">
        <v>190</v>
      </c>
    </row>
    <row r="43" spans="1:58" x14ac:dyDescent="0.25">
      <c r="A43">
        <v>8</v>
      </c>
      <c r="B43" t="s">
        <v>9</v>
      </c>
      <c r="C43">
        <v>54.966667000000001</v>
      </c>
      <c r="D43">
        <v>-1.6166670000000001</v>
      </c>
      <c r="AJ43">
        <v>125</v>
      </c>
      <c r="AK43">
        <v>74</v>
      </c>
      <c r="AL43">
        <v>50</v>
      </c>
      <c r="AM43">
        <v>40</v>
      </c>
      <c r="AN43" s="4">
        <f>4*60+50</f>
        <v>290</v>
      </c>
      <c r="AO43">
        <v>113</v>
      </c>
      <c r="AP43" s="3">
        <f>4*60+2</f>
        <v>242</v>
      </c>
      <c r="AQ43">
        <v>113</v>
      </c>
      <c r="AR43">
        <v>51</v>
      </c>
      <c r="AS43">
        <v>0</v>
      </c>
      <c r="AT43">
        <v>168</v>
      </c>
      <c r="AU43">
        <v>56</v>
      </c>
      <c r="AV43" s="3">
        <f>3*60+55</f>
        <v>235</v>
      </c>
      <c r="AW43">
        <f>3*60+45</f>
        <v>225</v>
      </c>
      <c r="AX43" s="3">
        <v>212</v>
      </c>
      <c r="AY43">
        <f>3*60+40</f>
        <v>220</v>
      </c>
      <c r="AZ43">
        <f>6*60+29</f>
        <v>389</v>
      </c>
      <c r="BA43">
        <f>4*60+47</f>
        <v>287</v>
      </c>
      <c r="BB43">
        <f>7*60+33</f>
        <v>453</v>
      </c>
      <c r="BC43">
        <f>88</f>
        <v>88</v>
      </c>
      <c r="BD43">
        <v>182</v>
      </c>
      <c r="BE43">
        <v>129</v>
      </c>
      <c r="BF43">
        <v>237</v>
      </c>
    </row>
    <row r="44" spans="1:58" x14ac:dyDescent="0.25">
      <c r="A44">
        <v>9</v>
      </c>
      <c r="B44" t="s">
        <v>18</v>
      </c>
      <c r="C44">
        <v>52.95</v>
      </c>
      <c r="D44">
        <v>-1.1333329999999999</v>
      </c>
      <c r="AJ44">
        <v>100</v>
      </c>
      <c r="AK44">
        <v>86</v>
      </c>
      <c r="AL44">
        <v>181</v>
      </c>
      <c r="AM44">
        <v>209</v>
      </c>
      <c r="AN44" s="3">
        <f>5*60+51</f>
        <v>351</v>
      </c>
      <c r="AO44" s="3">
        <f>3*60+17</f>
        <v>197</v>
      </c>
      <c r="AP44">
        <v>115</v>
      </c>
      <c r="AQ44">
        <f>4*60+55</f>
        <v>295</v>
      </c>
      <c r="AR44" s="3">
        <f>3*60+2</f>
        <v>182</v>
      </c>
      <c r="AS44">
        <v>168</v>
      </c>
      <c r="AT44">
        <v>0</v>
      </c>
      <c r="AU44" s="3">
        <f>2*60+44</f>
        <v>164</v>
      </c>
      <c r="AV44" s="3">
        <f>2*60+28</f>
        <v>148</v>
      </c>
      <c r="AW44">
        <f>6*60+38</f>
        <v>398</v>
      </c>
      <c r="AX44">
        <v>50</v>
      </c>
      <c r="AY44">
        <f>4*60+50</f>
        <v>290</v>
      </c>
      <c r="AZ44">
        <f>8*60+36</f>
        <v>516</v>
      </c>
      <c r="BA44">
        <v>122</v>
      </c>
      <c r="BB44">
        <f>9*60+24</f>
        <v>564</v>
      </c>
      <c r="BC44">
        <f>4*60+39</f>
        <v>279</v>
      </c>
      <c r="BD44">
        <f>4*60+30</f>
        <v>270</v>
      </c>
      <c r="BE44">
        <f>5*60+25</f>
        <v>325</v>
      </c>
      <c r="BF44">
        <f>3*60+38</f>
        <v>218</v>
      </c>
    </row>
    <row r="45" spans="1:58" x14ac:dyDescent="0.25">
      <c r="A45">
        <v>10</v>
      </c>
      <c r="B45" t="s">
        <v>16</v>
      </c>
      <c r="C45">
        <v>53.383333</v>
      </c>
      <c r="D45">
        <v>-1.4666669999999999</v>
      </c>
      <c r="AJ45">
        <v>69</v>
      </c>
      <c r="AK45">
        <v>55</v>
      </c>
      <c r="AL45" s="3">
        <v>120</v>
      </c>
      <c r="AM45">
        <v>143</v>
      </c>
      <c r="AN45" s="3">
        <f>5*60+24</f>
        <v>324</v>
      </c>
      <c r="AO45" s="3">
        <f>3*60+19</f>
        <v>199</v>
      </c>
      <c r="AP45" s="3">
        <f>3*60+34</f>
        <v>214</v>
      </c>
      <c r="AQ45" s="3">
        <f>2*60+48</f>
        <v>168</v>
      </c>
      <c r="AR45">
        <v>27</v>
      </c>
      <c r="AS45">
        <v>56</v>
      </c>
      <c r="AT45" s="3">
        <f>2*60+44</f>
        <v>164</v>
      </c>
      <c r="AU45">
        <v>0</v>
      </c>
      <c r="AV45" s="3">
        <f>3*60+14</f>
        <v>194</v>
      </c>
      <c r="AW45" s="3">
        <f>5*60+5</f>
        <v>305</v>
      </c>
      <c r="AX45" s="3">
        <f>3*60+11</f>
        <v>191</v>
      </c>
      <c r="AY45">
        <v>176</v>
      </c>
      <c r="AZ45">
        <f>7*60+40</f>
        <v>460</v>
      </c>
      <c r="BA45">
        <f>4*60+52</f>
        <v>292</v>
      </c>
      <c r="BB45">
        <f>9*60+17</f>
        <v>557</v>
      </c>
      <c r="BC45">
        <f>2*60+57</f>
        <v>177</v>
      </c>
      <c r="BD45">
        <f>3*60+52</f>
        <v>232</v>
      </c>
      <c r="BE45">
        <f>3*60+33</f>
        <v>213</v>
      </c>
      <c r="BF45">
        <f>2*60+41</f>
        <v>161</v>
      </c>
    </row>
    <row r="46" spans="1:58" x14ac:dyDescent="0.25">
      <c r="A46">
        <v>11</v>
      </c>
      <c r="B46" t="s">
        <v>10</v>
      </c>
      <c r="C46">
        <v>51.45</v>
      </c>
      <c r="D46">
        <v>-2.5833330000000001</v>
      </c>
      <c r="AJ46">
        <v>65</v>
      </c>
      <c r="AK46" s="3">
        <v>178</v>
      </c>
      <c r="AL46" s="3">
        <f>3*60+45</f>
        <v>225</v>
      </c>
      <c r="AM46" s="3">
        <f>4*60</f>
        <v>240</v>
      </c>
      <c r="AN46" s="3">
        <f>6*60+12</f>
        <v>372</v>
      </c>
      <c r="AO46" s="3">
        <f>3*60+40</f>
        <v>220</v>
      </c>
      <c r="AP46">
        <v>105</v>
      </c>
      <c r="AQ46" s="3">
        <f>4*60+30</f>
        <v>270</v>
      </c>
      <c r="AR46" s="3">
        <f>3*60+36</f>
        <v>216</v>
      </c>
      <c r="AS46" s="3">
        <f>3*60+55</f>
        <v>235</v>
      </c>
      <c r="AT46" s="3">
        <f>2*60+28</f>
        <v>148</v>
      </c>
      <c r="AU46" s="3">
        <f>3*60+14</f>
        <v>194</v>
      </c>
      <c r="AV46">
        <v>0</v>
      </c>
      <c r="AW46" s="3">
        <f>6*60+21</f>
        <v>381</v>
      </c>
      <c r="AX46" s="3">
        <f>4*60+6</f>
        <v>246</v>
      </c>
      <c r="AY46">
        <f>3*60+48</f>
        <v>228</v>
      </c>
      <c r="AZ46">
        <f>9*60+3</f>
        <v>543</v>
      </c>
      <c r="BA46">
        <f>4*60+60</f>
        <v>300</v>
      </c>
      <c r="BB46">
        <f>9*60+58</f>
        <v>598</v>
      </c>
      <c r="BC46">
        <f>4*60+45</f>
        <v>285</v>
      </c>
      <c r="BD46">
        <f>5*60+4</f>
        <v>304</v>
      </c>
      <c r="BE46">
        <f>4*60+53</f>
        <v>293</v>
      </c>
      <c r="BF46">
        <f>2*60+29</f>
        <v>149</v>
      </c>
    </row>
    <row r="47" spans="1:58" x14ac:dyDescent="0.25">
      <c r="A47">
        <v>13</v>
      </c>
      <c r="B47" t="s">
        <v>15</v>
      </c>
      <c r="C47">
        <v>50.842941000000003</v>
      </c>
      <c r="D47">
        <v>0.13131200000000001</v>
      </c>
      <c r="AJ47">
        <v>121</v>
      </c>
      <c r="AK47">
        <v>119</v>
      </c>
      <c r="AL47">
        <f>3*60+21</f>
        <v>201</v>
      </c>
      <c r="AM47" s="3">
        <f>4*60+23</f>
        <v>263</v>
      </c>
      <c r="AN47" s="3">
        <f>5*60+38</f>
        <v>338</v>
      </c>
      <c r="AO47" s="3">
        <f>3*60+33</f>
        <v>213</v>
      </c>
      <c r="AP47">
        <v>171</v>
      </c>
      <c r="AQ47" s="3">
        <f>5*60+37</f>
        <v>337</v>
      </c>
      <c r="AR47">
        <f>3*60+30</f>
        <v>210</v>
      </c>
      <c r="AS47" s="3">
        <v>212</v>
      </c>
      <c r="AT47">
        <v>50</v>
      </c>
      <c r="AU47" s="3">
        <f>3*60+11</f>
        <v>191</v>
      </c>
      <c r="AV47" s="3">
        <f>4*60+6</f>
        <v>246</v>
      </c>
      <c r="AW47" s="3">
        <f>5*60+45</f>
        <v>345</v>
      </c>
      <c r="AX47">
        <v>0</v>
      </c>
      <c r="AY47">
        <f>4*60+55</f>
        <v>295</v>
      </c>
      <c r="AZ47">
        <f>9*60+1</f>
        <v>541</v>
      </c>
      <c r="BA47">
        <v>197</v>
      </c>
      <c r="BB47">
        <f>9*60+33</f>
        <v>573</v>
      </c>
      <c r="BC47">
        <f>5*60+14</f>
        <v>314</v>
      </c>
      <c r="BD47">
        <f>4*60+39</f>
        <v>279</v>
      </c>
      <c r="BE47">
        <v>360</v>
      </c>
      <c r="BF47">
        <f>3*60+43</f>
        <v>223</v>
      </c>
    </row>
    <row r="48" spans="1:58" x14ac:dyDescent="0.25">
      <c r="A48">
        <v>14</v>
      </c>
      <c r="B48" t="s">
        <v>13</v>
      </c>
      <c r="C48">
        <v>55.95</v>
      </c>
      <c r="D48">
        <v>-3.1833330000000002</v>
      </c>
    </row>
    <row r="49" spans="1:58" x14ac:dyDescent="0.25">
      <c r="A49">
        <v>15</v>
      </c>
      <c r="B49" t="s">
        <v>11</v>
      </c>
      <c r="C49">
        <v>51.483333000000002</v>
      </c>
      <c r="D49">
        <v>-3.1833300000000002</v>
      </c>
    </row>
    <row r="50" spans="1:58" x14ac:dyDescent="0.25">
      <c r="A50">
        <v>16</v>
      </c>
      <c r="B50" t="s">
        <v>23</v>
      </c>
      <c r="C50">
        <f>52+37/60</f>
        <v>52.616666666666667</v>
      </c>
      <c r="D50">
        <f>1+17/60</f>
        <v>1.2833333333333332</v>
      </c>
    </row>
    <row r="51" spans="1:58" x14ac:dyDescent="0.25">
      <c r="A51">
        <v>17</v>
      </c>
      <c r="B51" t="s">
        <v>24</v>
      </c>
      <c r="C51">
        <v>57.1526</v>
      </c>
      <c r="D51">
        <v>-2.11</v>
      </c>
    </row>
    <row r="52" spans="1:58" x14ac:dyDescent="0.25">
      <c r="A52">
        <v>18</v>
      </c>
      <c r="B52" t="s">
        <v>25</v>
      </c>
      <c r="C52">
        <f>50+22/60</f>
        <v>50.366666666666667</v>
      </c>
      <c r="D52">
        <f>-4+8/60</f>
        <v>-3.8666666666666667</v>
      </c>
    </row>
    <row r="53" spans="1:58" x14ac:dyDescent="0.25">
      <c r="A53">
        <v>19</v>
      </c>
      <c r="B53" t="s">
        <v>26</v>
      </c>
      <c r="C53">
        <v>57.471699999999998</v>
      </c>
      <c r="D53">
        <v>-4.2253999999999996</v>
      </c>
    </row>
    <row r="54" spans="1:58" x14ac:dyDescent="0.25">
      <c r="A54">
        <v>20</v>
      </c>
      <c r="B54" t="s">
        <v>27</v>
      </c>
      <c r="C54">
        <f>53+44/60</f>
        <v>53.733333333333334</v>
      </c>
      <c r="D54">
        <f>-19/60</f>
        <v>-0.31666666666666665</v>
      </c>
    </row>
    <row r="55" spans="1:58" x14ac:dyDescent="0.25">
      <c r="A55">
        <v>21</v>
      </c>
      <c r="B55" t="s">
        <v>28</v>
      </c>
      <c r="C55">
        <v>54.890999999999998</v>
      </c>
      <c r="D55">
        <v>-2.9439000000000002</v>
      </c>
    </row>
    <row r="56" spans="1:58" x14ac:dyDescent="0.25">
      <c r="A56">
        <v>22</v>
      </c>
      <c r="B56" t="s">
        <v>29</v>
      </c>
      <c r="C56">
        <f>54+34/60</f>
        <v>54.56666666666667</v>
      </c>
      <c r="D56">
        <f>-1+14/60</f>
        <v>-0.76666666666666661</v>
      </c>
    </row>
    <row r="57" spans="1:58" x14ac:dyDescent="0.25">
      <c r="A57">
        <v>23</v>
      </c>
      <c r="B57" t="s">
        <v>30</v>
      </c>
      <c r="C57">
        <v>51.274999999999999</v>
      </c>
      <c r="D57">
        <v>1.087</v>
      </c>
    </row>
    <row r="58" spans="1:58" x14ac:dyDescent="0.25">
      <c r="A58">
        <v>12</v>
      </c>
      <c r="B58" t="s">
        <v>19</v>
      </c>
      <c r="C58">
        <v>52.63</v>
      </c>
      <c r="D58">
        <f>-1.133333</f>
        <v>-1.1333329999999999</v>
      </c>
      <c r="AJ58">
        <f>4*60+22</f>
        <v>262</v>
      </c>
      <c r="AK58">
        <v>241</v>
      </c>
      <c r="AL58">
        <f>3*60+19</f>
        <v>199</v>
      </c>
      <c r="AM58">
        <v>180</v>
      </c>
      <c r="AN58">
        <v>54</v>
      </c>
      <c r="AO58" s="3">
        <f>3*60+24</f>
        <v>204</v>
      </c>
      <c r="AP58" s="3">
        <f>7*60+6</f>
        <v>426</v>
      </c>
      <c r="AQ58">
        <v>89</v>
      </c>
      <c r="AR58" s="3">
        <f>4*60+50</f>
        <v>290</v>
      </c>
      <c r="AS58">
        <f>3*60+45</f>
        <v>225</v>
      </c>
      <c r="AT58">
        <f>6*60+38</f>
        <v>398</v>
      </c>
      <c r="AU58" s="3">
        <f>5*60+5</f>
        <v>305</v>
      </c>
      <c r="AV58" s="3">
        <f>6*60+21</f>
        <v>381</v>
      </c>
      <c r="AW58">
        <v>0</v>
      </c>
      <c r="AX58" s="3">
        <f>5*60+45</f>
        <v>345</v>
      </c>
      <c r="AY58">
        <f>5*60+43</f>
        <v>343</v>
      </c>
      <c r="AZ58">
        <v>140</v>
      </c>
      <c r="BA58">
        <f>8*60+38</f>
        <v>518</v>
      </c>
      <c r="BB58">
        <v>202</v>
      </c>
      <c r="BC58">
        <f>3*60+53</f>
        <v>233</v>
      </c>
      <c r="BD58">
        <v>77</v>
      </c>
      <c r="BE58">
        <v>169</v>
      </c>
      <c r="BF58">
        <f>8*60+8</f>
        <v>488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2013-08-21T16:30:35Z</dcterms:modified>
</cp:coreProperties>
</file>